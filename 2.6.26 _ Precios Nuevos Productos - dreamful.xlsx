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ambujuan/Library/Mobile Documents/.Trash/Escritorio - MacBook Air de Juan/Novamente/"/>
    </mc:Choice>
  </mc:AlternateContent>
  <xr:revisionPtr revIDLastSave="0" documentId="13_ncr:1_{A3101053-F2E6-7049-8F25-8BA6EC79EA57}" xr6:coauthVersionLast="47" xr6:coauthVersionMax="47" xr10:uidLastSave="{00000000-0000-0000-0000-000000000000}"/>
  <bookViews>
    <workbookView xWindow="0" yWindow="660" windowWidth="29400" windowHeight="18460" firstSheet="5" activeTab="8" xr2:uid="{00000000-000D-0000-FFFF-FFFF00000000}"/>
  </bookViews>
  <sheets>
    <sheet name="Precios_Para_Comunicar" sheetId="1" r:id="rId1"/>
    <sheet name="Precios_Partners_Growth" sheetId="7" r:id="rId2"/>
    <sheet name="Detalle_SKU_Con_Margenes" sheetId="2" r:id="rId3"/>
    <sheet name="Resumen_por_Producto" sheetId="3" r:id="rId4"/>
    <sheet name="Plan_Precios_Futuro" sheetId="9" r:id="rId5"/>
    <sheet name="Precios Tab Dreamfull-sheets" sheetId="4" r:id="rId6"/>
    <sheet name="Analisis_Descuentos" sheetId="5" state="hidden" r:id="rId7"/>
    <sheet name="Prompt_Bot" sheetId="6" state="hidden" r:id="rId8"/>
    <sheet name="Prompt_Dev_Costos"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28" i="7" l="1"/>
  <c r="H28" i="7"/>
  <c r="G28" i="7"/>
  <c r="F28" i="7"/>
  <c r="E28" i="7"/>
  <c r="I27" i="7"/>
  <c r="H27" i="7"/>
  <c r="G27" i="7"/>
  <c r="F27" i="7"/>
  <c r="E27" i="7"/>
  <c r="I26" i="7"/>
  <c r="H26" i="7"/>
  <c r="G26" i="7"/>
  <c r="F26" i="7"/>
  <c r="E26" i="7"/>
  <c r="I25" i="7"/>
  <c r="H25" i="7"/>
  <c r="G25" i="7"/>
  <c r="F25" i="7"/>
  <c r="E25" i="7"/>
  <c r="I24" i="7"/>
  <c r="H24" i="7"/>
  <c r="M24" i="7" s="1"/>
  <c r="G24" i="7"/>
  <c r="F24" i="7"/>
  <c r="E24" i="7"/>
  <c r="I23" i="7"/>
  <c r="H23" i="7"/>
  <c r="G23" i="7"/>
  <c r="F23" i="7"/>
  <c r="E23" i="7"/>
  <c r="I22" i="7"/>
  <c r="H22" i="7"/>
  <c r="G22" i="7"/>
  <c r="F22" i="7"/>
  <c r="E22" i="7"/>
  <c r="I21" i="7"/>
  <c r="H21" i="7"/>
  <c r="G21" i="7"/>
  <c r="F21" i="7"/>
  <c r="E21" i="7"/>
  <c r="I20" i="7"/>
  <c r="H20" i="7"/>
  <c r="G20" i="7"/>
  <c r="F20" i="7"/>
  <c r="E20" i="7"/>
  <c r="I19" i="7"/>
  <c r="H19" i="7"/>
  <c r="G19" i="7"/>
  <c r="F19" i="7"/>
  <c r="E19" i="7"/>
  <c r="I18" i="7"/>
  <c r="H18" i="7"/>
  <c r="G18" i="7"/>
  <c r="F18" i="7"/>
  <c r="E18" i="7"/>
  <c r="I17" i="7"/>
  <c r="H17" i="7"/>
  <c r="G17" i="7"/>
  <c r="F17" i="7"/>
  <c r="E17" i="7"/>
  <c r="I16" i="7"/>
  <c r="H16" i="7"/>
  <c r="G16" i="7"/>
  <c r="F16" i="7"/>
  <c r="E16" i="7"/>
  <c r="I15" i="7"/>
  <c r="H15" i="7"/>
  <c r="G15" i="7"/>
  <c r="F15" i="7"/>
  <c r="E15" i="7"/>
  <c r="I14" i="7"/>
  <c r="H14" i="7"/>
  <c r="G14" i="7"/>
  <c r="F14" i="7"/>
  <c r="E14" i="7"/>
  <c r="I13" i="7"/>
  <c r="H13" i="7"/>
  <c r="G13" i="7"/>
  <c r="F13" i="7"/>
  <c r="E13" i="7"/>
  <c r="I12" i="7"/>
  <c r="H12" i="7"/>
  <c r="G12" i="7"/>
  <c r="F12" i="7"/>
  <c r="E12" i="7"/>
  <c r="I11" i="7"/>
  <c r="H11" i="7"/>
  <c r="G11" i="7"/>
  <c r="F11" i="7"/>
  <c r="E11" i="7"/>
  <c r="I10" i="7"/>
  <c r="H10" i="7"/>
  <c r="G10" i="7"/>
  <c r="F10" i="7"/>
  <c r="E10" i="7"/>
  <c r="I9" i="7"/>
  <c r="H9" i="7"/>
  <c r="G9" i="7"/>
  <c r="F9" i="7"/>
  <c r="E9" i="7"/>
  <c r="I8" i="7"/>
  <c r="H8" i="7"/>
  <c r="G8" i="7"/>
  <c r="F8" i="7"/>
  <c r="E8" i="7"/>
  <c r="I7" i="7"/>
  <c r="H7" i="7"/>
  <c r="G7" i="7"/>
  <c r="F7" i="7"/>
  <c r="E7" i="7"/>
  <c r="I6" i="7"/>
  <c r="H6" i="7"/>
  <c r="G6" i="7"/>
  <c r="F6" i="7"/>
  <c r="E6" i="7"/>
  <c r="I5" i="7"/>
  <c r="H5" i="7"/>
  <c r="G5" i="7"/>
  <c r="F5" i="7"/>
  <c r="E5" i="7"/>
  <c r="H59" i="9"/>
  <c r="A59" i="9"/>
  <c r="H58" i="9"/>
  <c r="A58" i="9"/>
  <c r="H57" i="9"/>
  <c r="A57" i="9"/>
  <c r="H56" i="9"/>
  <c r="A56" i="9"/>
  <c r="H55" i="9"/>
  <c r="A55" i="9"/>
  <c r="H54" i="9"/>
  <c r="G54" i="9"/>
  <c r="F54" i="9"/>
  <c r="E54" i="9"/>
  <c r="D54" i="9"/>
  <c r="C54" i="9"/>
  <c r="B54" i="9"/>
  <c r="A54" i="9"/>
  <c r="H53" i="9"/>
  <c r="G53" i="9"/>
  <c r="F53" i="9"/>
  <c r="E53" i="9"/>
  <c r="D53" i="9"/>
  <c r="C53" i="9"/>
  <c r="B53" i="9"/>
  <c r="A53" i="9"/>
  <c r="G43" i="9"/>
  <c r="G42" i="9"/>
  <c r="I42" i="9" s="1"/>
  <c r="C48" i="9"/>
  <c r="B48" i="9"/>
  <c r="A48" i="9"/>
  <c r="C47" i="9"/>
  <c r="B47" i="9"/>
  <c r="A47" i="9"/>
  <c r="C46" i="9"/>
  <c r="B46" i="9"/>
  <c r="A46" i="9"/>
  <c r="C45" i="9"/>
  <c r="B45" i="9"/>
  <c r="A45" i="9"/>
  <c r="C44" i="9"/>
  <c r="B44" i="9"/>
  <c r="A44" i="9"/>
  <c r="I43" i="9"/>
  <c r="H43" i="9"/>
  <c r="F43" i="9"/>
  <c r="E43" i="9"/>
  <c r="D43" i="9"/>
  <c r="C43" i="9"/>
  <c r="B43" i="9"/>
  <c r="A43" i="9"/>
  <c r="C42" i="9"/>
  <c r="E42" i="9"/>
  <c r="F42" i="9" s="1"/>
  <c r="D42" i="9"/>
  <c r="B42" i="9"/>
  <c r="A42" i="9"/>
  <c r="T31" i="9"/>
  <c r="T30" i="9"/>
  <c r="V29" i="9"/>
  <c r="T29" i="9"/>
  <c r="X28" i="9"/>
  <c r="W28" i="9"/>
  <c r="V28" i="9"/>
  <c r="U28" i="9"/>
  <c r="T28" i="9"/>
  <c r="T27" i="9"/>
  <c r="Y26" i="9"/>
  <c r="X26" i="9"/>
  <c r="W26" i="9"/>
  <c r="V26" i="9"/>
  <c r="U26" i="9"/>
  <c r="T26" i="9"/>
  <c r="Y25" i="9"/>
  <c r="X25" i="9"/>
  <c r="W25" i="9"/>
  <c r="V25" i="9"/>
  <c r="U25" i="9"/>
  <c r="T25" i="9"/>
  <c r="T21" i="9"/>
  <c r="T20" i="9"/>
  <c r="T19" i="9"/>
  <c r="T18" i="9"/>
  <c r="X18" i="9"/>
  <c r="W18" i="9"/>
  <c r="V18" i="9"/>
  <c r="T17" i="9"/>
  <c r="T16" i="9"/>
  <c r="Y16" i="9"/>
  <c r="X16" i="9"/>
  <c r="W16" i="9"/>
  <c r="V16" i="9"/>
  <c r="U16" i="9"/>
  <c r="Y15" i="9"/>
  <c r="X15" i="9"/>
  <c r="W15" i="9"/>
  <c r="V15" i="9"/>
  <c r="U15" i="9"/>
  <c r="T15" i="9"/>
  <c r="R21" i="9"/>
  <c r="R20" i="9"/>
  <c r="R19" i="9"/>
  <c r="R18" i="9"/>
  <c r="R17" i="9"/>
  <c r="R16" i="9"/>
  <c r="R15" i="9"/>
  <c r="P21" i="9"/>
  <c r="O21" i="9"/>
  <c r="N21" i="9"/>
  <c r="M21" i="9"/>
  <c r="L21" i="9"/>
  <c r="K21" i="9"/>
  <c r="P20" i="9"/>
  <c r="O20" i="9"/>
  <c r="N20" i="9"/>
  <c r="M20" i="9"/>
  <c r="L20" i="9"/>
  <c r="K20" i="9"/>
  <c r="P19" i="9"/>
  <c r="O19" i="9"/>
  <c r="N19" i="9"/>
  <c r="M19" i="9"/>
  <c r="L19" i="9"/>
  <c r="K19" i="9"/>
  <c r="P18" i="9"/>
  <c r="O18" i="9"/>
  <c r="N18" i="9"/>
  <c r="M18" i="9"/>
  <c r="L18" i="9"/>
  <c r="K18" i="9"/>
  <c r="P17" i="9"/>
  <c r="O17" i="9"/>
  <c r="N17" i="9"/>
  <c r="M17" i="9"/>
  <c r="L17" i="9"/>
  <c r="K17" i="9"/>
  <c r="P16" i="9"/>
  <c r="O16" i="9"/>
  <c r="N16" i="9"/>
  <c r="M16" i="9"/>
  <c r="L16" i="9"/>
  <c r="K16" i="9"/>
  <c r="P15" i="9"/>
  <c r="O15" i="9"/>
  <c r="N15" i="9"/>
  <c r="M15" i="9"/>
  <c r="L15" i="9"/>
  <c r="K15" i="9"/>
  <c r="I21" i="9"/>
  <c r="E21" i="9"/>
  <c r="F21" i="9" s="1"/>
  <c r="D21" i="9"/>
  <c r="I20" i="9"/>
  <c r="E20" i="9" s="1"/>
  <c r="F20" i="9" s="1"/>
  <c r="D20" i="9"/>
  <c r="I19" i="9"/>
  <c r="E19" i="9"/>
  <c r="F19" i="9" s="1"/>
  <c r="D19" i="9"/>
  <c r="I18" i="9"/>
  <c r="E18" i="9"/>
  <c r="F18" i="9" s="1"/>
  <c r="D18" i="9"/>
  <c r="I17" i="9"/>
  <c r="E17" i="9" s="1"/>
  <c r="F17" i="9" s="1"/>
  <c r="D17" i="9"/>
  <c r="I16" i="9"/>
  <c r="E16" i="9" s="1"/>
  <c r="F16" i="9" s="1"/>
  <c r="D16" i="9"/>
  <c r="E15" i="9"/>
  <c r="F15" i="9" s="1"/>
  <c r="I15" i="9"/>
  <c r="D15" i="9"/>
  <c r="C21" i="9"/>
  <c r="B21" i="9"/>
  <c r="A21" i="9"/>
  <c r="C20" i="9"/>
  <c r="B20" i="9"/>
  <c r="A20" i="9"/>
  <c r="C19" i="9"/>
  <c r="B19" i="9"/>
  <c r="A19" i="9"/>
  <c r="C18" i="9"/>
  <c r="B18" i="9"/>
  <c r="A18" i="9"/>
  <c r="C17" i="9"/>
  <c r="B17" i="9"/>
  <c r="A17" i="9"/>
  <c r="C16" i="9"/>
  <c r="B16" i="9"/>
  <c r="A16" i="9"/>
  <c r="C15" i="9"/>
  <c r="B15" i="9"/>
  <c r="A15" i="9"/>
  <c r="N28" i="7"/>
  <c r="M28" i="7"/>
  <c r="L28" i="7"/>
  <c r="D28" i="7"/>
  <c r="K28" i="7" s="1"/>
  <c r="C28" i="7"/>
  <c r="B28" i="7"/>
  <c r="A28" i="7"/>
  <c r="N27" i="7"/>
  <c r="M27" i="7"/>
  <c r="L27" i="7"/>
  <c r="K27" i="7"/>
  <c r="J27" i="7"/>
  <c r="D27" i="7"/>
  <c r="C27" i="7"/>
  <c r="B27" i="7"/>
  <c r="A27" i="7"/>
  <c r="D26" i="7"/>
  <c r="C26" i="7"/>
  <c r="B26" i="7"/>
  <c r="A26" i="7"/>
  <c r="N25" i="7"/>
  <c r="D25" i="7"/>
  <c r="M25" i="7" s="1"/>
  <c r="C25" i="7"/>
  <c r="B25" i="7"/>
  <c r="A25" i="7"/>
  <c r="N24" i="7"/>
  <c r="L24" i="7"/>
  <c r="D24" i="7"/>
  <c r="K24" i="7" s="1"/>
  <c r="C24" i="7"/>
  <c r="B24" i="7"/>
  <c r="A24" i="7"/>
  <c r="N23" i="7"/>
  <c r="M23" i="7"/>
  <c r="L23" i="7"/>
  <c r="K23" i="7"/>
  <c r="J23" i="7"/>
  <c r="D23" i="7"/>
  <c r="C23" i="7"/>
  <c r="B23" i="7"/>
  <c r="A23" i="7"/>
  <c r="D22" i="7"/>
  <c r="C22" i="7"/>
  <c r="B22" i="7"/>
  <c r="A22" i="7"/>
  <c r="N21" i="7"/>
  <c r="D21" i="7"/>
  <c r="M21" i="7" s="1"/>
  <c r="C21" i="7"/>
  <c r="B21" i="7"/>
  <c r="A21" i="7"/>
  <c r="N20" i="7"/>
  <c r="M20" i="7"/>
  <c r="L20" i="7"/>
  <c r="D20" i="7"/>
  <c r="K20" i="7" s="1"/>
  <c r="C20" i="7"/>
  <c r="B20" i="7"/>
  <c r="A20" i="7"/>
  <c r="N19" i="7"/>
  <c r="M19" i="7"/>
  <c r="L19" i="7"/>
  <c r="K19" i="7"/>
  <c r="J19" i="7"/>
  <c r="D19" i="7"/>
  <c r="C19" i="7"/>
  <c r="B19" i="7"/>
  <c r="A19" i="7"/>
  <c r="D18" i="7"/>
  <c r="C18" i="7"/>
  <c r="B18" i="7"/>
  <c r="A18" i="7"/>
  <c r="N17" i="7"/>
  <c r="D17" i="7"/>
  <c r="M17" i="7" s="1"/>
  <c r="C17" i="7"/>
  <c r="B17" i="7"/>
  <c r="A17" i="7"/>
  <c r="N16" i="7"/>
  <c r="M16" i="7"/>
  <c r="L16" i="7"/>
  <c r="D16" i="7"/>
  <c r="K16" i="7" s="1"/>
  <c r="C16" i="7"/>
  <c r="B16" i="7"/>
  <c r="A16" i="7"/>
  <c r="N15" i="7"/>
  <c r="M15" i="7"/>
  <c r="L15" i="7"/>
  <c r="K15" i="7"/>
  <c r="J15" i="7"/>
  <c r="D15" i="7"/>
  <c r="C15" i="7"/>
  <c r="B15" i="7"/>
  <c r="A15" i="7"/>
  <c r="D14" i="7"/>
  <c r="C14" i="7"/>
  <c r="B14" i="7"/>
  <c r="A14" i="7"/>
  <c r="N13" i="7"/>
  <c r="D13" i="7"/>
  <c r="M13" i="7" s="1"/>
  <c r="C13" i="7"/>
  <c r="B13" i="7"/>
  <c r="A13" i="7"/>
  <c r="N12" i="7"/>
  <c r="M12" i="7"/>
  <c r="L12" i="7"/>
  <c r="D12" i="7"/>
  <c r="K12" i="7" s="1"/>
  <c r="C12" i="7"/>
  <c r="B12" i="7"/>
  <c r="A12" i="7"/>
  <c r="N11" i="7"/>
  <c r="M11" i="7"/>
  <c r="L11" i="7"/>
  <c r="K11" i="7"/>
  <c r="J11" i="7"/>
  <c r="D11" i="7"/>
  <c r="C11" i="7"/>
  <c r="B11" i="7"/>
  <c r="A11" i="7"/>
  <c r="D10" i="7"/>
  <c r="J10" i="7" s="1"/>
  <c r="C10" i="7"/>
  <c r="B10" i="7"/>
  <c r="A10" i="7"/>
  <c r="N9" i="7"/>
  <c r="D9" i="7"/>
  <c r="M9" i="7" s="1"/>
  <c r="C9" i="7"/>
  <c r="B9" i="7"/>
  <c r="A9" i="7"/>
  <c r="N8" i="7"/>
  <c r="M8" i="7"/>
  <c r="L8" i="7"/>
  <c r="D8" i="7"/>
  <c r="K8" i="7" s="1"/>
  <c r="C8" i="7"/>
  <c r="B8" i="7"/>
  <c r="A8" i="7"/>
  <c r="N7" i="7"/>
  <c r="M7" i="7"/>
  <c r="L7" i="7"/>
  <c r="K7" i="7"/>
  <c r="J7" i="7"/>
  <c r="D7" i="7"/>
  <c r="C7" i="7"/>
  <c r="B7" i="7"/>
  <c r="A7" i="7"/>
  <c r="D6" i="7"/>
  <c r="C6" i="7"/>
  <c r="B6" i="7"/>
  <c r="A6" i="7"/>
  <c r="M5" i="7"/>
  <c r="L5" i="7"/>
  <c r="K5" i="7"/>
  <c r="J5" i="7"/>
  <c r="N5" i="7"/>
  <c r="D5" i="7"/>
  <c r="C5" i="7"/>
  <c r="B5" i="7"/>
  <c r="A5" i="7"/>
  <c r="K8" i="3"/>
  <c r="Y31" i="9" s="1"/>
  <c r="J8" i="3"/>
  <c r="X21" i="9" s="1"/>
  <c r="I8" i="3"/>
  <c r="W31" i="9" s="1"/>
  <c r="H8" i="3"/>
  <c r="V31" i="9" s="1"/>
  <c r="G8" i="3"/>
  <c r="U31" i="9" s="1"/>
  <c r="D8" i="3"/>
  <c r="C8" i="3"/>
  <c r="K7" i="3"/>
  <c r="Y20" i="9" s="1"/>
  <c r="J7" i="3"/>
  <c r="X20" i="9" s="1"/>
  <c r="I7" i="3"/>
  <c r="W20" i="9" s="1"/>
  <c r="H7" i="3"/>
  <c r="V30" i="9" s="1"/>
  <c r="G7" i="3"/>
  <c r="U30" i="9" s="1"/>
  <c r="D7" i="3"/>
  <c r="C7" i="3"/>
  <c r="K6" i="3"/>
  <c r="Y29" i="9" s="1"/>
  <c r="J6" i="3"/>
  <c r="X19" i="9" s="1"/>
  <c r="I6" i="3"/>
  <c r="W19" i="9" s="1"/>
  <c r="H6" i="3"/>
  <c r="V19" i="9" s="1"/>
  <c r="G6" i="3"/>
  <c r="U29" i="9" s="1"/>
  <c r="D6" i="3"/>
  <c r="C6" i="3"/>
  <c r="M5" i="3"/>
  <c r="K5" i="3"/>
  <c r="Y18" i="9" s="1"/>
  <c r="J5" i="3"/>
  <c r="I5" i="3"/>
  <c r="H5" i="3"/>
  <c r="G5" i="3"/>
  <c r="D45" i="9" s="1"/>
  <c r="D5" i="3"/>
  <c r="C5" i="3"/>
  <c r="K4" i="3"/>
  <c r="Y27" i="9" s="1"/>
  <c r="J4" i="3"/>
  <c r="X27" i="9" s="1"/>
  <c r="I4" i="3"/>
  <c r="W27" i="9" s="1"/>
  <c r="H4" i="3"/>
  <c r="V27" i="9" s="1"/>
  <c r="G4" i="3"/>
  <c r="U27" i="9" s="1"/>
  <c r="D4" i="3"/>
  <c r="C4" i="3"/>
  <c r="M3" i="3"/>
  <c r="L3" i="3"/>
  <c r="K3" i="3"/>
  <c r="J3" i="3"/>
  <c r="I3" i="3"/>
  <c r="H3" i="3"/>
  <c r="G3" i="3"/>
  <c r="D3" i="3"/>
  <c r="C3" i="3"/>
  <c r="M2" i="3"/>
  <c r="L2" i="3"/>
  <c r="K2" i="3"/>
  <c r="J2" i="3"/>
  <c r="I2" i="3"/>
  <c r="H2" i="3"/>
  <c r="G2" i="3"/>
  <c r="D2" i="3"/>
  <c r="C2" i="3"/>
  <c r="Q25" i="1"/>
  <c r="P25" i="1"/>
  <c r="O25" i="1"/>
  <c r="N25" i="1"/>
  <c r="M25" i="1"/>
  <c r="Q24" i="1"/>
  <c r="M8" i="3" s="1"/>
  <c r="P24" i="1"/>
  <c r="O24" i="1"/>
  <c r="N24" i="1"/>
  <c r="M24" i="1"/>
  <c r="L8" i="3" s="1"/>
  <c r="Q23" i="1"/>
  <c r="P23" i="1"/>
  <c r="O23" i="1"/>
  <c r="N23" i="1"/>
  <c r="M23" i="1"/>
  <c r="Q22" i="1"/>
  <c r="P22" i="1"/>
  <c r="O22" i="1"/>
  <c r="N22" i="1"/>
  <c r="M22" i="1"/>
  <c r="Q21" i="1"/>
  <c r="P21" i="1"/>
  <c r="O21" i="1"/>
  <c r="N21" i="1"/>
  <c r="M21" i="1"/>
  <c r="Q20" i="1"/>
  <c r="P20" i="1"/>
  <c r="O20" i="1"/>
  <c r="N20" i="1"/>
  <c r="M20" i="1"/>
  <c r="Q19" i="1"/>
  <c r="P19" i="1"/>
  <c r="O19" i="1"/>
  <c r="N19" i="1"/>
  <c r="M19" i="1"/>
  <c r="Q18" i="1"/>
  <c r="P18" i="1"/>
  <c r="O18" i="1"/>
  <c r="N18" i="1"/>
  <c r="M18" i="1"/>
  <c r="Q17" i="1"/>
  <c r="P17" i="1"/>
  <c r="O17" i="1"/>
  <c r="N17" i="1"/>
  <c r="M17" i="1"/>
  <c r="L6" i="3" s="1"/>
  <c r="Q16" i="1"/>
  <c r="P16" i="1"/>
  <c r="O16" i="1"/>
  <c r="N16" i="1"/>
  <c r="M16" i="1"/>
  <c r="Q15" i="1"/>
  <c r="P15" i="1"/>
  <c r="O15" i="1"/>
  <c r="N15" i="1"/>
  <c r="M15" i="1"/>
  <c r="Q14" i="1"/>
  <c r="P14" i="1"/>
  <c r="O14" i="1"/>
  <c r="N14" i="1"/>
  <c r="M14" i="1"/>
  <c r="Q13" i="1"/>
  <c r="P13" i="1"/>
  <c r="O13" i="1"/>
  <c r="N13" i="1"/>
  <c r="M13" i="1"/>
  <c r="Q12" i="1"/>
  <c r="P12" i="1"/>
  <c r="O12" i="1"/>
  <c r="N12" i="1"/>
  <c r="M12" i="1"/>
  <c r="Q11" i="1"/>
  <c r="P11" i="1"/>
  <c r="O11" i="1"/>
  <c r="N11" i="1"/>
  <c r="M11" i="1"/>
  <c r="Q10" i="1"/>
  <c r="P10" i="1"/>
  <c r="O10" i="1"/>
  <c r="N10" i="1"/>
  <c r="M10" i="1"/>
  <c r="Q9" i="1"/>
  <c r="P9" i="1"/>
  <c r="O9" i="1"/>
  <c r="N9" i="1"/>
  <c r="M9" i="1"/>
  <c r="Q8" i="1"/>
  <c r="P8" i="1"/>
  <c r="O8" i="1"/>
  <c r="N8" i="1"/>
  <c r="M8" i="1"/>
  <c r="Q7" i="1"/>
  <c r="P7" i="1"/>
  <c r="O7" i="1"/>
  <c r="N7" i="1"/>
  <c r="M7" i="1"/>
  <c r="Q6" i="1"/>
  <c r="P6" i="1"/>
  <c r="O6" i="1"/>
  <c r="N6" i="1"/>
  <c r="M6" i="1"/>
  <c r="Q5" i="1"/>
  <c r="P5" i="1"/>
  <c r="O5" i="1"/>
  <c r="N5" i="1"/>
  <c r="M5" i="1"/>
  <c r="Q4" i="1"/>
  <c r="P4" i="1"/>
  <c r="O4" i="1"/>
  <c r="N4" i="1"/>
  <c r="M4" i="1"/>
  <c r="Q3" i="1"/>
  <c r="P3" i="1"/>
  <c r="O3" i="1"/>
  <c r="N3" i="1"/>
  <c r="M3" i="1"/>
  <c r="Q2" i="1"/>
  <c r="P2" i="1"/>
  <c r="O2" i="1"/>
  <c r="N2" i="1"/>
  <c r="M2" i="1"/>
  <c r="L10" i="1"/>
  <c r="K10" i="1"/>
  <c r="J10" i="1"/>
  <c r="I10" i="1"/>
  <c r="H10" i="1"/>
  <c r="L9" i="1"/>
  <c r="K9" i="1"/>
  <c r="J9" i="1"/>
  <c r="I9" i="1"/>
  <c r="H9" i="1"/>
  <c r="L8" i="1"/>
  <c r="K8" i="1"/>
  <c r="J8" i="1"/>
  <c r="I8" i="1"/>
  <c r="H8" i="1"/>
  <c r="L7" i="1"/>
  <c r="K7" i="1"/>
  <c r="J7" i="1"/>
  <c r="I7" i="1"/>
  <c r="H7" i="1"/>
  <c r="L6" i="1"/>
  <c r="K6" i="1"/>
  <c r="J6" i="1"/>
  <c r="I6" i="1"/>
  <c r="H6" i="1"/>
  <c r="L5" i="1"/>
  <c r="K5" i="1"/>
  <c r="J5" i="1"/>
  <c r="I5" i="1"/>
  <c r="H5" i="1"/>
  <c r="L4" i="1"/>
  <c r="K4" i="1"/>
  <c r="J4" i="1"/>
  <c r="I4" i="1"/>
  <c r="H4" i="1"/>
  <c r="L3" i="1"/>
  <c r="K3" i="1"/>
  <c r="J3" i="1"/>
  <c r="I3" i="1"/>
  <c r="H3" i="1"/>
  <c r="L2" i="1"/>
  <c r="K2" i="1"/>
  <c r="J2" i="1"/>
  <c r="I2" i="1"/>
  <c r="H2" i="1"/>
  <c r="G25" i="1"/>
  <c r="G24" i="1"/>
  <c r="G23" i="1"/>
  <c r="E25" i="1"/>
  <c r="E24" i="1"/>
  <c r="E23" i="1"/>
  <c r="E22" i="1"/>
  <c r="E21" i="1"/>
  <c r="E20" i="1"/>
  <c r="E19" i="1"/>
  <c r="E18" i="1"/>
  <c r="E17" i="1"/>
  <c r="E16" i="1"/>
  <c r="E15" i="1"/>
  <c r="E14" i="1"/>
  <c r="E13" i="1"/>
  <c r="E12" i="1"/>
  <c r="E11" i="1"/>
  <c r="E10" i="1"/>
  <c r="E9" i="1"/>
  <c r="E8" i="1"/>
  <c r="E7" i="1"/>
  <c r="E6" i="1"/>
  <c r="E5" i="1"/>
  <c r="E4" i="1"/>
  <c r="E3" i="1"/>
  <c r="E2" i="1"/>
  <c r="M105" i="2"/>
  <c r="L105" i="2"/>
  <c r="M104" i="2"/>
  <c r="L104" i="2"/>
  <c r="M103" i="2"/>
  <c r="L103" i="2"/>
  <c r="M102" i="2"/>
  <c r="L102" i="2"/>
  <c r="M101" i="2"/>
  <c r="L101" i="2"/>
  <c r="M100" i="2"/>
  <c r="L100" i="2"/>
  <c r="M99" i="2"/>
  <c r="L99" i="2"/>
  <c r="M98" i="2"/>
  <c r="L98" i="2"/>
  <c r="M97" i="2"/>
  <c r="L97" i="2"/>
  <c r="M96" i="2"/>
  <c r="L96" i="2"/>
  <c r="M95" i="2"/>
  <c r="L95" i="2"/>
  <c r="M94" i="2"/>
  <c r="M93" i="2"/>
  <c r="M92" i="2"/>
  <c r="M91" i="2"/>
  <c r="M90" i="2"/>
  <c r="M84" i="2"/>
  <c r="M83" i="2"/>
  <c r="M82" i="2"/>
  <c r="M81" i="2"/>
  <c r="M80" i="2"/>
  <c r="M74" i="2"/>
  <c r="L74" i="2"/>
  <c r="M73" i="2"/>
  <c r="L73" i="2"/>
  <c r="M72" i="2"/>
  <c r="L72" i="2"/>
  <c r="M71" i="2"/>
  <c r="L71" i="2"/>
  <c r="M70" i="2"/>
  <c r="M69" i="2"/>
  <c r="M68" i="2"/>
  <c r="M67" i="2"/>
  <c r="M66" i="2"/>
  <c r="M65" i="2"/>
  <c r="M64" i="2"/>
  <c r="M63" i="2"/>
  <c r="M62" i="2"/>
  <c r="M61" i="2"/>
  <c r="M60" i="2"/>
  <c r="V105" i="2"/>
  <c r="W105" i="2" s="1"/>
  <c r="T105" i="2"/>
  <c r="U105" i="2" s="1"/>
  <c r="R105" i="2"/>
  <c r="S105" i="2" s="1"/>
  <c r="P105" i="2"/>
  <c r="Q105" i="2" s="1"/>
  <c r="O105" i="2"/>
  <c r="N105" i="2"/>
  <c r="W104" i="2"/>
  <c r="V104" i="2"/>
  <c r="T104" i="2"/>
  <c r="U104" i="2" s="1"/>
  <c r="S104" i="2"/>
  <c r="R104" i="2"/>
  <c r="Q104" i="2"/>
  <c r="P104" i="2"/>
  <c r="O104" i="2"/>
  <c r="N104" i="2"/>
  <c r="V103" i="2"/>
  <c r="W103" i="2" s="1"/>
  <c r="U103" i="2"/>
  <c r="T103" i="2"/>
  <c r="S103" i="2"/>
  <c r="R103" i="2"/>
  <c r="Q103" i="2"/>
  <c r="P103" i="2"/>
  <c r="O103" i="2"/>
  <c r="N103" i="2"/>
  <c r="V102" i="2"/>
  <c r="W102" i="2" s="1"/>
  <c r="U102" i="2"/>
  <c r="T102" i="2"/>
  <c r="S102" i="2"/>
  <c r="R102" i="2"/>
  <c r="Q102" i="2"/>
  <c r="P102" i="2"/>
  <c r="O102" i="2"/>
  <c r="N102" i="2"/>
  <c r="V101" i="2"/>
  <c r="W101" i="2" s="1"/>
  <c r="U101" i="2"/>
  <c r="T101" i="2"/>
  <c r="S101" i="2"/>
  <c r="R101" i="2"/>
  <c r="Q101" i="2"/>
  <c r="P101" i="2"/>
  <c r="O101" i="2"/>
  <c r="N101" i="2"/>
  <c r="V100" i="2"/>
  <c r="W100" i="2" s="1"/>
  <c r="U100" i="2"/>
  <c r="T100" i="2"/>
  <c r="S100" i="2"/>
  <c r="R100" i="2"/>
  <c r="Q100" i="2"/>
  <c r="P100" i="2"/>
  <c r="O100" i="2"/>
  <c r="N100" i="2"/>
  <c r="V99" i="2"/>
  <c r="W99" i="2" s="1"/>
  <c r="U99" i="2"/>
  <c r="T99" i="2"/>
  <c r="S99" i="2"/>
  <c r="R99" i="2"/>
  <c r="Q99" i="2"/>
  <c r="P99" i="2"/>
  <c r="O99" i="2"/>
  <c r="N99" i="2"/>
  <c r="V98" i="2"/>
  <c r="W98" i="2" s="1"/>
  <c r="U98" i="2"/>
  <c r="T98" i="2"/>
  <c r="S98" i="2"/>
  <c r="R98" i="2"/>
  <c r="Q98" i="2"/>
  <c r="P98" i="2"/>
  <c r="O98" i="2"/>
  <c r="N98" i="2"/>
  <c r="V97" i="2"/>
  <c r="W97" i="2" s="1"/>
  <c r="U97" i="2"/>
  <c r="T97" i="2"/>
  <c r="S97" i="2"/>
  <c r="R97" i="2"/>
  <c r="Q97" i="2"/>
  <c r="P97" i="2"/>
  <c r="O97" i="2"/>
  <c r="N97" i="2"/>
  <c r="V96" i="2"/>
  <c r="W96" i="2" s="1"/>
  <c r="U96" i="2"/>
  <c r="T96" i="2"/>
  <c r="S96" i="2"/>
  <c r="R96" i="2"/>
  <c r="Q96" i="2"/>
  <c r="P96" i="2"/>
  <c r="O96" i="2"/>
  <c r="N96" i="2"/>
  <c r="V95" i="2"/>
  <c r="W95" i="2" s="1"/>
  <c r="U95" i="2"/>
  <c r="T95" i="2"/>
  <c r="S95" i="2"/>
  <c r="R95" i="2"/>
  <c r="Q95" i="2"/>
  <c r="P95" i="2"/>
  <c r="O95" i="2"/>
  <c r="N95" i="2"/>
  <c r="V94" i="2"/>
  <c r="W94" i="2" s="1"/>
  <c r="U94" i="2"/>
  <c r="T94" i="2"/>
  <c r="S94" i="2"/>
  <c r="R94" i="2"/>
  <c r="Q94" i="2"/>
  <c r="P94" i="2"/>
  <c r="O94" i="2"/>
  <c r="N94" i="2"/>
  <c r="W93" i="2"/>
  <c r="V93" i="2"/>
  <c r="U93" i="2"/>
  <c r="T93" i="2"/>
  <c r="S93" i="2"/>
  <c r="R93" i="2"/>
  <c r="Q93" i="2"/>
  <c r="P93" i="2"/>
  <c r="O93" i="2"/>
  <c r="N93" i="2"/>
  <c r="V92" i="2"/>
  <c r="W92" i="2" s="1"/>
  <c r="U92" i="2"/>
  <c r="T92" i="2"/>
  <c r="S92" i="2"/>
  <c r="R92" i="2"/>
  <c r="Q92" i="2"/>
  <c r="P92" i="2"/>
  <c r="O92" i="2"/>
  <c r="N92" i="2"/>
  <c r="V91" i="2"/>
  <c r="W91" i="2" s="1"/>
  <c r="U91" i="2"/>
  <c r="T91" i="2"/>
  <c r="S91" i="2"/>
  <c r="R91" i="2"/>
  <c r="Q91" i="2"/>
  <c r="P91" i="2"/>
  <c r="O91" i="2"/>
  <c r="N91" i="2"/>
  <c r="V90" i="2"/>
  <c r="W90" i="2" s="1"/>
  <c r="U90" i="2"/>
  <c r="T90" i="2"/>
  <c r="S90" i="2"/>
  <c r="R90" i="2"/>
  <c r="Q90" i="2"/>
  <c r="P90" i="2"/>
  <c r="O90" i="2"/>
  <c r="N90" i="2"/>
  <c r="W89" i="2"/>
  <c r="V89" i="2"/>
  <c r="U89" i="2"/>
  <c r="T89" i="2"/>
  <c r="S89" i="2"/>
  <c r="R89" i="2"/>
  <c r="Q89" i="2"/>
  <c r="P89" i="2"/>
  <c r="O89" i="2"/>
  <c r="N89" i="2"/>
  <c r="W88" i="2"/>
  <c r="V88" i="2"/>
  <c r="U88" i="2"/>
  <c r="T88" i="2"/>
  <c r="S88" i="2"/>
  <c r="R88" i="2"/>
  <c r="Q88" i="2"/>
  <c r="P88" i="2"/>
  <c r="O88" i="2"/>
  <c r="N88" i="2"/>
  <c r="W87" i="2"/>
  <c r="V87" i="2"/>
  <c r="U87" i="2"/>
  <c r="T87" i="2"/>
  <c r="S87" i="2"/>
  <c r="R87" i="2"/>
  <c r="Q87" i="2"/>
  <c r="P87" i="2"/>
  <c r="O87" i="2"/>
  <c r="N87" i="2"/>
  <c r="W86" i="2"/>
  <c r="V86" i="2"/>
  <c r="U86" i="2"/>
  <c r="T86" i="2"/>
  <c r="S86" i="2"/>
  <c r="R86" i="2"/>
  <c r="Q86" i="2"/>
  <c r="P86" i="2"/>
  <c r="O86" i="2"/>
  <c r="N86" i="2"/>
  <c r="W85" i="2"/>
  <c r="V85" i="2"/>
  <c r="U85" i="2"/>
  <c r="T85" i="2"/>
  <c r="S85" i="2"/>
  <c r="R85" i="2"/>
  <c r="Q85" i="2"/>
  <c r="P85" i="2"/>
  <c r="O85" i="2"/>
  <c r="N85" i="2"/>
  <c r="W84" i="2"/>
  <c r="V84" i="2"/>
  <c r="U84" i="2"/>
  <c r="T84" i="2"/>
  <c r="S84" i="2"/>
  <c r="R84" i="2"/>
  <c r="Q84" i="2"/>
  <c r="P84" i="2"/>
  <c r="O84" i="2"/>
  <c r="N84" i="2"/>
  <c r="V83" i="2"/>
  <c r="W83" i="2" s="1"/>
  <c r="U83" i="2"/>
  <c r="T83" i="2"/>
  <c r="S83" i="2"/>
  <c r="R83" i="2"/>
  <c r="Q83" i="2"/>
  <c r="P83" i="2"/>
  <c r="O83" i="2"/>
  <c r="N83" i="2"/>
  <c r="W82" i="2"/>
  <c r="V82" i="2"/>
  <c r="U82" i="2"/>
  <c r="T82" i="2"/>
  <c r="S82" i="2"/>
  <c r="R82" i="2"/>
  <c r="Q82" i="2"/>
  <c r="P82" i="2"/>
  <c r="O82" i="2"/>
  <c r="N82" i="2"/>
  <c r="V81" i="2"/>
  <c r="W81" i="2" s="1"/>
  <c r="U81" i="2"/>
  <c r="T81" i="2"/>
  <c r="S81" i="2"/>
  <c r="R81" i="2"/>
  <c r="Q81" i="2"/>
  <c r="P81" i="2"/>
  <c r="O81" i="2"/>
  <c r="N81" i="2"/>
  <c r="V80" i="2"/>
  <c r="W80" i="2" s="1"/>
  <c r="U80" i="2"/>
  <c r="T80" i="2"/>
  <c r="S80" i="2"/>
  <c r="R80" i="2"/>
  <c r="Q80" i="2"/>
  <c r="P80" i="2"/>
  <c r="O80" i="2"/>
  <c r="N80" i="2"/>
  <c r="W79" i="2"/>
  <c r="V79" i="2"/>
  <c r="U79" i="2"/>
  <c r="T79" i="2"/>
  <c r="S79" i="2"/>
  <c r="R79" i="2"/>
  <c r="Q79" i="2"/>
  <c r="P79" i="2"/>
  <c r="O79" i="2"/>
  <c r="N79" i="2"/>
  <c r="W78" i="2"/>
  <c r="V78" i="2"/>
  <c r="U78" i="2"/>
  <c r="T78" i="2"/>
  <c r="S78" i="2"/>
  <c r="R78" i="2"/>
  <c r="Q78" i="2"/>
  <c r="P78" i="2"/>
  <c r="O78" i="2"/>
  <c r="N78" i="2"/>
  <c r="W77" i="2"/>
  <c r="V77" i="2"/>
  <c r="U77" i="2"/>
  <c r="T77" i="2"/>
  <c r="S77" i="2"/>
  <c r="R77" i="2"/>
  <c r="Q77" i="2"/>
  <c r="P77" i="2"/>
  <c r="O77" i="2"/>
  <c r="N77" i="2"/>
  <c r="W76" i="2"/>
  <c r="V76" i="2"/>
  <c r="U76" i="2"/>
  <c r="T76" i="2"/>
  <c r="S76" i="2"/>
  <c r="R76" i="2"/>
  <c r="Q76" i="2"/>
  <c r="P76" i="2"/>
  <c r="O76" i="2"/>
  <c r="N76" i="2"/>
  <c r="W75" i="2"/>
  <c r="V75" i="2"/>
  <c r="U75" i="2"/>
  <c r="T75" i="2"/>
  <c r="S75" i="2"/>
  <c r="R75" i="2"/>
  <c r="Q75" i="2"/>
  <c r="P75" i="2"/>
  <c r="O75" i="2"/>
  <c r="N75" i="2"/>
  <c r="V74" i="2"/>
  <c r="W74" i="2" s="1"/>
  <c r="T74" i="2"/>
  <c r="U74" i="2" s="1"/>
  <c r="S74" i="2"/>
  <c r="R74" i="2"/>
  <c r="Q74" i="2"/>
  <c r="P74" i="2"/>
  <c r="O74" i="2"/>
  <c r="N74" i="2"/>
  <c r="W73" i="2"/>
  <c r="V73" i="2"/>
  <c r="U73" i="2"/>
  <c r="T73" i="2"/>
  <c r="S73" i="2"/>
  <c r="R73" i="2"/>
  <c r="Q73" i="2"/>
  <c r="P73" i="2"/>
  <c r="O73" i="2"/>
  <c r="N73" i="2"/>
  <c r="W72" i="2"/>
  <c r="V72" i="2"/>
  <c r="U72" i="2"/>
  <c r="T72" i="2"/>
  <c r="S72" i="2"/>
  <c r="R72" i="2"/>
  <c r="Q72" i="2"/>
  <c r="P72" i="2"/>
  <c r="O72" i="2"/>
  <c r="N72" i="2"/>
  <c r="V71" i="2"/>
  <c r="W71" i="2" s="1"/>
  <c r="T71" i="2"/>
  <c r="U71" i="2" s="1"/>
  <c r="S71" i="2"/>
  <c r="R71" i="2"/>
  <c r="Q71" i="2"/>
  <c r="P71" i="2"/>
  <c r="O71" i="2"/>
  <c r="N71" i="2"/>
  <c r="V70" i="2"/>
  <c r="W70" i="2" s="1"/>
  <c r="U70" i="2"/>
  <c r="T70" i="2"/>
  <c r="S70" i="2"/>
  <c r="R70" i="2"/>
  <c r="Q70" i="2"/>
  <c r="P70" i="2"/>
  <c r="O70" i="2"/>
  <c r="N70" i="2"/>
  <c r="V69" i="2"/>
  <c r="W69" i="2" s="1"/>
  <c r="U69" i="2"/>
  <c r="T69" i="2"/>
  <c r="S69" i="2"/>
  <c r="R69" i="2"/>
  <c r="Q69" i="2"/>
  <c r="P69" i="2"/>
  <c r="O69" i="2"/>
  <c r="N69" i="2"/>
  <c r="V68" i="2"/>
  <c r="W68" i="2" s="1"/>
  <c r="U68" i="2"/>
  <c r="T68" i="2"/>
  <c r="S68" i="2"/>
  <c r="R68" i="2"/>
  <c r="Q68" i="2"/>
  <c r="P68" i="2"/>
  <c r="O68" i="2"/>
  <c r="N68" i="2"/>
  <c r="W67" i="2"/>
  <c r="V67" i="2"/>
  <c r="U67" i="2"/>
  <c r="T67" i="2"/>
  <c r="S67" i="2"/>
  <c r="R67" i="2"/>
  <c r="Q67" i="2"/>
  <c r="P67" i="2"/>
  <c r="O67" i="2"/>
  <c r="N67" i="2"/>
  <c r="V66" i="2"/>
  <c r="W66" i="2" s="1"/>
  <c r="U66" i="2"/>
  <c r="T66" i="2"/>
  <c r="S66" i="2"/>
  <c r="R66" i="2"/>
  <c r="Q66" i="2"/>
  <c r="P66" i="2"/>
  <c r="O66" i="2"/>
  <c r="N66" i="2"/>
  <c r="V65" i="2"/>
  <c r="W65" i="2" s="1"/>
  <c r="U65" i="2"/>
  <c r="T65" i="2"/>
  <c r="S65" i="2"/>
  <c r="R65" i="2"/>
  <c r="Q65" i="2"/>
  <c r="P65" i="2"/>
  <c r="O65" i="2"/>
  <c r="N65" i="2"/>
  <c r="V64" i="2"/>
  <c r="W64" i="2" s="1"/>
  <c r="U64" i="2"/>
  <c r="T64" i="2"/>
  <c r="S64" i="2"/>
  <c r="R64" i="2"/>
  <c r="Q64" i="2"/>
  <c r="P64" i="2"/>
  <c r="O64" i="2"/>
  <c r="N64" i="2"/>
  <c r="V63" i="2"/>
  <c r="W63" i="2" s="1"/>
  <c r="U63" i="2"/>
  <c r="T63" i="2"/>
  <c r="S63" i="2"/>
  <c r="R63" i="2"/>
  <c r="Q63" i="2"/>
  <c r="P63" i="2"/>
  <c r="O63" i="2"/>
  <c r="N63" i="2"/>
  <c r="V62" i="2"/>
  <c r="W62" i="2" s="1"/>
  <c r="U62" i="2"/>
  <c r="T62" i="2"/>
  <c r="S62" i="2"/>
  <c r="R62" i="2"/>
  <c r="Q62" i="2"/>
  <c r="P62" i="2"/>
  <c r="O62" i="2"/>
  <c r="N62" i="2"/>
  <c r="V61" i="2"/>
  <c r="W61" i="2" s="1"/>
  <c r="U61" i="2"/>
  <c r="T61" i="2"/>
  <c r="S61" i="2"/>
  <c r="R61" i="2"/>
  <c r="Q61" i="2"/>
  <c r="P61" i="2"/>
  <c r="O61" i="2"/>
  <c r="N61" i="2"/>
  <c r="V60" i="2"/>
  <c r="W60" i="2" s="1"/>
  <c r="U60" i="2"/>
  <c r="T60" i="2"/>
  <c r="S60" i="2"/>
  <c r="R60" i="2"/>
  <c r="Q60" i="2"/>
  <c r="P60" i="2"/>
  <c r="O60" i="2"/>
  <c r="N60" i="2"/>
  <c r="W59" i="2"/>
  <c r="V59" i="2"/>
  <c r="U59" i="2"/>
  <c r="T59" i="2"/>
  <c r="S59" i="2"/>
  <c r="R59" i="2"/>
  <c r="Q59" i="2"/>
  <c r="P59" i="2"/>
  <c r="O59" i="2"/>
  <c r="N59" i="2"/>
  <c r="W58" i="2"/>
  <c r="V58" i="2"/>
  <c r="U58" i="2"/>
  <c r="T58" i="2"/>
  <c r="S58" i="2"/>
  <c r="R58" i="2"/>
  <c r="Q58" i="2"/>
  <c r="P58" i="2"/>
  <c r="O58" i="2"/>
  <c r="N58" i="2"/>
  <c r="W57" i="2"/>
  <c r="V57" i="2"/>
  <c r="U57" i="2"/>
  <c r="T57" i="2"/>
  <c r="S57" i="2"/>
  <c r="R57" i="2"/>
  <c r="Q57" i="2"/>
  <c r="P57" i="2"/>
  <c r="O57" i="2"/>
  <c r="N57" i="2"/>
  <c r="W56" i="2"/>
  <c r="V56" i="2"/>
  <c r="U56" i="2"/>
  <c r="T56" i="2"/>
  <c r="S56" i="2"/>
  <c r="R56" i="2"/>
  <c r="Q56" i="2"/>
  <c r="P56" i="2"/>
  <c r="O56" i="2"/>
  <c r="N56" i="2"/>
  <c r="W55" i="2"/>
  <c r="V55" i="2"/>
  <c r="U55" i="2"/>
  <c r="T55" i="2"/>
  <c r="S55" i="2"/>
  <c r="R55" i="2"/>
  <c r="Q55" i="2"/>
  <c r="P55" i="2"/>
  <c r="O55" i="2"/>
  <c r="N55" i="2"/>
  <c r="W54" i="2"/>
  <c r="V54" i="2"/>
  <c r="U54" i="2"/>
  <c r="T54" i="2"/>
  <c r="S54" i="2"/>
  <c r="R54" i="2"/>
  <c r="Q54" i="2"/>
  <c r="P54" i="2"/>
  <c r="O54" i="2"/>
  <c r="N54" i="2"/>
  <c r="W53" i="2"/>
  <c r="V53" i="2"/>
  <c r="U53" i="2"/>
  <c r="T53" i="2"/>
  <c r="S53" i="2"/>
  <c r="R53" i="2"/>
  <c r="Q53" i="2"/>
  <c r="P53" i="2"/>
  <c r="O53" i="2"/>
  <c r="N53" i="2"/>
  <c r="W52" i="2"/>
  <c r="V52" i="2"/>
  <c r="U52" i="2"/>
  <c r="T52" i="2"/>
  <c r="S52" i="2"/>
  <c r="R52" i="2"/>
  <c r="Q52" i="2"/>
  <c r="P52" i="2"/>
  <c r="O52" i="2"/>
  <c r="N52" i="2"/>
  <c r="W51" i="2"/>
  <c r="V51" i="2"/>
  <c r="U51" i="2"/>
  <c r="T51" i="2"/>
  <c r="S51" i="2"/>
  <c r="R51" i="2"/>
  <c r="Q51" i="2"/>
  <c r="P51" i="2"/>
  <c r="O51" i="2"/>
  <c r="N51" i="2"/>
  <c r="W50" i="2"/>
  <c r="V50" i="2"/>
  <c r="U50" i="2"/>
  <c r="T50" i="2"/>
  <c r="S50" i="2"/>
  <c r="R50" i="2"/>
  <c r="Q50" i="2"/>
  <c r="P50" i="2"/>
  <c r="O50" i="2"/>
  <c r="N50" i="2"/>
  <c r="W49" i="2"/>
  <c r="V49" i="2"/>
  <c r="U49" i="2"/>
  <c r="T49" i="2"/>
  <c r="S49" i="2"/>
  <c r="R49" i="2"/>
  <c r="Q49" i="2"/>
  <c r="P49" i="2"/>
  <c r="O49" i="2"/>
  <c r="N49" i="2"/>
  <c r="W48" i="2"/>
  <c r="V48" i="2"/>
  <c r="U48" i="2"/>
  <c r="T48" i="2"/>
  <c r="S48" i="2"/>
  <c r="R48" i="2"/>
  <c r="Q48" i="2"/>
  <c r="P48" i="2"/>
  <c r="O48" i="2"/>
  <c r="N48" i="2"/>
  <c r="W47" i="2"/>
  <c r="V47" i="2"/>
  <c r="U47" i="2"/>
  <c r="T47" i="2"/>
  <c r="S47" i="2"/>
  <c r="R47" i="2"/>
  <c r="Q47" i="2"/>
  <c r="P47" i="2"/>
  <c r="O47" i="2"/>
  <c r="N47" i="2"/>
  <c r="W46" i="2"/>
  <c r="V46" i="2"/>
  <c r="U46" i="2"/>
  <c r="T46" i="2"/>
  <c r="S46" i="2"/>
  <c r="R46" i="2"/>
  <c r="Q46" i="2"/>
  <c r="P46" i="2"/>
  <c r="O46" i="2"/>
  <c r="N46" i="2"/>
  <c r="W45" i="2"/>
  <c r="V45" i="2"/>
  <c r="U45" i="2"/>
  <c r="T45" i="2"/>
  <c r="S45" i="2"/>
  <c r="R45" i="2"/>
  <c r="Q45" i="2"/>
  <c r="P45" i="2"/>
  <c r="O45" i="2"/>
  <c r="N45" i="2"/>
  <c r="W44" i="2"/>
  <c r="V44" i="2"/>
  <c r="U44" i="2"/>
  <c r="T44" i="2"/>
  <c r="S44" i="2"/>
  <c r="R44" i="2"/>
  <c r="Q44" i="2"/>
  <c r="P44" i="2"/>
  <c r="O44" i="2"/>
  <c r="N44" i="2"/>
  <c r="W43" i="2"/>
  <c r="V43" i="2"/>
  <c r="U43" i="2"/>
  <c r="T43" i="2"/>
  <c r="S43" i="2"/>
  <c r="R43" i="2"/>
  <c r="Q43" i="2"/>
  <c r="P43" i="2"/>
  <c r="O43" i="2"/>
  <c r="N43" i="2"/>
  <c r="W42" i="2"/>
  <c r="V42" i="2"/>
  <c r="U42" i="2"/>
  <c r="T42" i="2"/>
  <c r="S42" i="2"/>
  <c r="R42" i="2"/>
  <c r="Q42" i="2"/>
  <c r="P42" i="2"/>
  <c r="O42" i="2"/>
  <c r="N42" i="2"/>
  <c r="W41" i="2"/>
  <c r="V41" i="2"/>
  <c r="U41" i="2"/>
  <c r="T41" i="2"/>
  <c r="S41" i="2"/>
  <c r="R41" i="2"/>
  <c r="Q41" i="2"/>
  <c r="P41" i="2"/>
  <c r="O41" i="2"/>
  <c r="N41" i="2"/>
  <c r="W40" i="2"/>
  <c r="V40" i="2"/>
  <c r="U40" i="2"/>
  <c r="T40" i="2"/>
  <c r="S40" i="2"/>
  <c r="R40" i="2"/>
  <c r="Q40" i="2"/>
  <c r="P40" i="2"/>
  <c r="O40" i="2"/>
  <c r="N40" i="2"/>
  <c r="W39" i="2"/>
  <c r="V39" i="2"/>
  <c r="U39" i="2"/>
  <c r="T39" i="2"/>
  <c r="S39" i="2"/>
  <c r="R39" i="2"/>
  <c r="Q39" i="2"/>
  <c r="P39" i="2"/>
  <c r="O39" i="2"/>
  <c r="N39" i="2"/>
  <c r="W38" i="2"/>
  <c r="V38" i="2"/>
  <c r="U38" i="2"/>
  <c r="T38" i="2"/>
  <c r="S38" i="2"/>
  <c r="R38" i="2"/>
  <c r="Q38" i="2"/>
  <c r="P38" i="2"/>
  <c r="O38" i="2"/>
  <c r="N38" i="2"/>
  <c r="W37" i="2"/>
  <c r="V37" i="2"/>
  <c r="U37" i="2"/>
  <c r="T37" i="2"/>
  <c r="S37" i="2"/>
  <c r="R37" i="2"/>
  <c r="Q37" i="2"/>
  <c r="P37" i="2"/>
  <c r="O37" i="2"/>
  <c r="N37" i="2"/>
  <c r="W36" i="2"/>
  <c r="V36" i="2"/>
  <c r="U36" i="2"/>
  <c r="T36" i="2"/>
  <c r="S36" i="2"/>
  <c r="R36" i="2"/>
  <c r="Q36" i="2"/>
  <c r="P36" i="2"/>
  <c r="O36" i="2"/>
  <c r="N36" i="2"/>
  <c r="W35" i="2"/>
  <c r="V35" i="2"/>
  <c r="U35" i="2"/>
  <c r="T35" i="2"/>
  <c r="S35" i="2"/>
  <c r="R35" i="2"/>
  <c r="Q35" i="2"/>
  <c r="P35" i="2"/>
  <c r="O35" i="2"/>
  <c r="N35" i="2"/>
  <c r="W34" i="2"/>
  <c r="V34" i="2"/>
  <c r="U34" i="2"/>
  <c r="T34" i="2"/>
  <c r="S34" i="2"/>
  <c r="R34" i="2"/>
  <c r="Q34" i="2"/>
  <c r="P34" i="2"/>
  <c r="O34" i="2"/>
  <c r="N34" i="2"/>
  <c r="W33" i="2"/>
  <c r="V33" i="2"/>
  <c r="U33" i="2"/>
  <c r="T33" i="2"/>
  <c r="S33" i="2"/>
  <c r="R33" i="2"/>
  <c r="Q33" i="2"/>
  <c r="P33" i="2"/>
  <c r="O33" i="2"/>
  <c r="N33" i="2"/>
  <c r="W32" i="2"/>
  <c r="V32" i="2"/>
  <c r="U32" i="2"/>
  <c r="T32" i="2"/>
  <c r="S32" i="2"/>
  <c r="R32" i="2"/>
  <c r="Q32" i="2"/>
  <c r="P32" i="2"/>
  <c r="O32" i="2"/>
  <c r="N32" i="2"/>
  <c r="W31" i="2"/>
  <c r="V31" i="2"/>
  <c r="U31" i="2"/>
  <c r="T31" i="2"/>
  <c r="S31" i="2"/>
  <c r="R31" i="2"/>
  <c r="Q31" i="2"/>
  <c r="P31" i="2"/>
  <c r="O31" i="2"/>
  <c r="N31" i="2"/>
  <c r="W30" i="2"/>
  <c r="V30" i="2"/>
  <c r="U30" i="2"/>
  <c r="T30" i="2"/>
  <c r="S30" i="2"/>
  <c r="R30" i="2"/>
  <c r="Q30" i="2"/>
  <c r="P30" i="2"/>
  <c r="O30" i="2"/>
  <c r="N30" i="2"/>
  <c r="W29" i="2"/>
  <c r="V29" i="2"/>
  <c r="U29" i="2"/>
  <c r="T29" i="2"/>
  <c r="S29" i="2"/>
  <c r="R29" i="2"/>
  <c r="Q29" i="2"/>
  <c r="P29" i="2"/>
  <c r="O29" i="2"/>
  <c r="N29" i="2"/>
  <c r="W28" i="2"/>
  <c r="V28" i="2"/>
  <c r="U28" i="2"/>
  <c r="T28" i="2"/>
  <c r="S28" i="2"/>
  <c r="R28" i="2"/>
  <c r="Q28" i="2"/>
  <c r="P28" i="2"/>
  <c r="O28" i="2"/>
  <c r="N28" i="2"/>
  <c r="W27" i="2"/>
  <c r="V27" i="2"/>
  <c r="U27" i="2"/>
  <c r="T27" i="2"/>
  <c r="S27" i="2"/>
  <c r="R27" i="2"/>
  <c r="Q27" i="2"/>
  <c r="P27" i="2"/>
  <c r="O27" i="2"/>
  <c r="N27" i="2"/>
  <c r="W26" i="2"/>
  <c r="V26" i="2"/>
  <c r="U26" i="2"/>
  <c r="T26" i="2"/>
  <c r="S26" i="2"/>
  <c r="R26" i="2"/>
  <c r="Q26" i="2"/>
  <c r="P26" i="2"/>
  <c r="O26" i="2"/>
  <c r="N26" i="2"/>
  <c r="W25" i="2"/>
  <c r="V25" i="2"/>
  <c r="U25" i="2"/>
  <c r="T25" i="2"/>
  <c r="S25" i="2"/>
  <c r="R25" i="2"/>
  <c r="Q25" i="2"/>
  <c r="P25" i="2"/>
  <c r="O25" i="2"/>
  <c r="N25" i="2"/>
  <c r="W24" i="2"/>
  <c r="V24" i="2"/>
  <c r="U24" i="2"/>
  <c r="T24" i="2"/>
  <c r="S24" i="2"/>
  <c r="R24" i="2"/>
  <c r="Q24" i="2"/>
  <c r="P24" i="2"/>
  <c r="O24" i="2"/>
  <c r="N24" i="2"/>
  <c r="W23" i="2"/>
  <c r="V23" i="2"/>
  <c r="U23" i="2"/>
  <c r="T23" i="2"/>
  <c r="S23" i="2"/>
  <c r="R23" i="2"/>
  <c r="Q23" i="2"/>
  <c r="P23" i="2"/>
  <c r="O23" i="2"/>
  <c r="N23" i="2"/>
  <c r="W22" i="2"/>
  <c r="V22" i="2"/>
  <c r="U22" i="2"/>
  <c r="T22" i="2"/>
  <c r="S22" i="2"/>
  <c r="R22" i="2"/>
  <c r="Q22" i="2"/>
  <c r="P22" i="2"/>
  <c r="O22" i="2"/>
  <c r="N22" i="2"/>
  <c r="W21" i="2"/>
  <c r="V21" i="2"/>
  <c r="U21" i="2"/>
  <c r="T21" i="2"/>
  <c r="S21" i="2"/>
  <c r="R21" i="2"/>
  <c r="Q21" i="2"/>
  <c r="P21" i="2"/>
  <c r="O21" i="2"/>
  <c r="N21" i="2"/>
  <c r="W20" i="2"/>
  <c r="V20" i="2"/>
  <c r="U20" i="2"/>
  <c r="T20" i="2"/>
  <c r="S20" i="2"/>
  <c r="R20" i="2"/>
  <c r="Q20" i="2"/>
  <c r="P20" i="2"/>
  <c r="O20" i="2"/>
  <c r="N20" i="2"/>
  <c r="W19" i="2"/>
  <c r="V19" i="2"/>
  <c r="U19" i="2"/>
  <c r="T19" i="2"/>
  <c r="S19" i="2"/>
  <c r="R19" i="2"/>
  <c r="Q19" i="2"/>
  <c r="P19" i="2"/>
  <c r="O19" i="2"/>
  <c r="N19" i="2"/>
  <c r="W18" i="2"/>
  <c r="V18" i="2"/>
  <c r="U18" i="2"/>
  <c r="T18" i="2"/>
  <c r="S18" i="2"/>
  <c r="R18" i="2"/>
  <c r="Q18" i="2"/>
  <c r="P18" i="2"/>
  <c r="O18" i="2"/>
  <c r="N18" i="2"/>
  <c r="W17" i="2"/>
  <c r="V17" i="2"/>
  <c r="U17" i="2"/>
  <c r="T17" i="2"/>
  <c r="S17" i="2"/>
  <c r="R17" i="2"/>
  <c r="Q17" i="2"/>
  <c r="P17" i="2"/>
  <c r="O17" i="2"/>
  <c r="N17" i="2"/>
  <c r="W16" i="2"/>
  <c r="V16" i="2"/>
  <c r="U16" i="2"/>
  <c r="T16" i="2"/>
  <c r="S16" i="2"/>
  <c r="R16" i="2"/>
  <c r="Q16" i="2"/>
  <c r="P16" i="2"/>
  <c r="O16" i="2"/>
  <c r="N16" i="2"/>
  <c r="W15" i="2"/>
  <c r="V15" i="2"/>
  <c r="U15" i="2"/>
  <c r="T15" i="2"/>
  <c r="S15" i="2"/>
  <c r="R15" i="2"/>
  <c r="Q15" i="2"/>
  <c r="P15" i="2"/>
  <c r="O15" i="2"/>
  <c r="N15" i="2"/>
  <c r="W14" i="2"/>
  <c r="V14" i="2"/>
  <c r="U14" i="2"/>
  <c r="T14" i="2"/>
  <c r="S14" i="2"/>
  <c r="R14" i="2"/>
  <c r="Q14" i="2"/>
  <c r="P14" i="2"/>
  <c r="O14" i="2"/>
  <c r="N14" i="2"/>
  <c r="W13" i="2"/>
  <c r="V13" i="2"/>
  <c r="U13" i="2"/>
  <c r="T13" i="2"/>
  <c r="S13" i="2"/>
  <c r="R13" i="2"/>
  <c r="Q13" i="2"/>
  <c r="P13" i="2"/>
  <c r="O13" i="2"/>
  <c r="N13" i="2"/>
  <c r="W12" i="2"/>
  <c r="V12" i="2"/>
  <c r="U12" i="2"/>
  <c r="T12" i="2"/>
  <c r="S12" i="2"/>
  <c r="R12" i="2"/>
  <c r="Q12" i="2"/>
  <c r="P12" i="2"/>
  <c r="O12" i="2"/>
  <c r="N12" i="2"/>
  <c r="W11" i="2"/>
  <c r="V11" i="2"/>
  <c r="U11" i="2"/>
  <c r="T11" i="2"/>
  <c r="S11" i="2"/>
  <c r="R11" i="2"/>
  <c r="Q11" i="2"/>
  <c r="P11" i="2"/>
  <c r="O11" i="2"/>
  <c r="N11" i="2"/>
  <c r="W10" i="2"/>
  <c r="V10" i="2"/>
  <c r="U10" i="2"/>
  <c r="T10" i="2"/>
  <c r="S10" i="2"/>
  <c r="R10" i="2"/>
  <c r="Q10" i="2"/>
  <c r="P10" i="2"/>
  <c r="O10" i="2"/>
  <c r="N10" i="2"/>
  <c r="W9" i="2"/>
  <c r="V9" i="2"/>
  <c r="U9" i="2"/>
  <c r="T9" i="2"/>
  <c r="S9" i="2"/>
  <c r="R9" i="2"/>
  <c r="Q9" i="2"/>
  <c r="P9" i="2"/>
  <c r="O9" i="2"/>
  <c r="N9" i="2"/>
  <c r="W8" i="2"/>
  <c r="V8" i="2"/>
  <c r="U8" i="2"/>
  <c r="T8" i="2"/>
  <c r="S8" i="2"/>
  <c r="R8" i="2"/>
  <c r="Q8" i="2"/>
  <c r="P8" i="2"/>
  <c r="O8" i="2"/>
  <c r="N8" i="2"/>
  <c r="W7" i="2"/>
  <c r="V7" i="2"/>
  <c r="U7" i="2"/>
  <c r="T7" i="2"/>
  <c r="S7" i="2"/>
  <c r="R7" i="2"/>
  <c r="Q7" i="2"/>
  <c r="P7" i="2"/>
  <c r="O7" i="2"/>
  <c r="N7" i="2"/>
  <c r="W6" i="2"/>
  <c r="V6" i="2"/>
  <c r="U6" i="2"/>
  <c r="T6" i="2"/>
  <c r="S6" i="2"/>
  <c r="R6" i="2"/>
  <c r="Q6" i="2"/>
  <c r="P6" i="2"/>
  <c r="O6" i="2"/>
  <c r="N6" i="2"/>
  <c r="W5" i="2"/>
  <c r="V5" i="2"/>
  <c r="U5" i="2"/>
  <c r="T5" i="2"/>
  <c r="S5" i="2"/>
  <c r="R5" i="2"/>
  <c r="Q5" i="2"/>
  <c r="P5" i="2"/>
  <c r="O5" i="2"/>
  <c r="N5" i="2"/>
  <c r="W4" i="2"/>
  <c r="V4" i="2"/>
  <c r="U4" i="2"/>
  <c r="T4" i="2"/>
  <c r="S4" i="2"/>
  <c r="R4" i="2"/>
  <c r="Q4" i="2"/>
  <c r="P4" i="2"/>
  <c r="O4" i="2"/>
  <c r="N4" i="2"/>
  <c r="W3" i="2"/>
  <c r="V3" i="2"/>
  <c r="U3" i="2"/>
  <c r="T3" i="2"/>
  <c r="S3" i="2"/>
  <c r="R3" i="2"/>
  <c r="Q3" i="2"/>
  <c r="P3" i="2"/>
  <c r="O3" i="2"/>
  <c r="N3" i="2"/>
  <c r="W2" i="2"/>
  <c r="V2" i="2"/>
  <c r="U2" i="2"/>
  <c r="T2" i="2"/>
  <c r="S2" i="2"/>
  <c r="R2" i="2"/>
  <c r="Q2" i="2"/>
  <c r="P2" i="2"/>
  <c r="O2" i="2"/>
  <c r="N2"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K30" i="5"/>
  <c r="H30" i="5"/>
  <c r="G30" i="5"/>
  <c r="F30" i="5"/>
  <c r="M29" i="5"/>
  <c r="L29" i="5"/>
  <c r="K29" i="5"/>
  <c r="J29" i="5"/>
  <c r="I29" i="5"/>
  <c r="H29" i="5"/>
  <c r="G29" i="5"/>
  <c r="F29" i="5"/>
  <c r="E29" i="5"/>
  <c r="D29" i="5"/>
  <c r="C29" i="5"/>
  <c r="B29" i="5"/>
  <c r="A29" i="5"/>
  <c r="M28" i="5"/>
  <c r="L28" i="5"/>
  <c r="K28" i="5"/>
  <c r="J28" i="5"/>
  <c r="I28" i="5"/>
  <c r="H28" i="5"/>
  <c r="G28" i="5"/>
  <c r="F28" i="5"/>
  <c r="E28" i="5"/>
  <c r="D28" i="5"/>
  <c r="C28" i="5"/>
  <c r="B28" i="5"/>
  <c r="A28" i="5"/>
  <c r="M27" i="5"/>
  <c r="L27" i="5"/>
  <c r="K27" i="5"/>
  <c r="J27" i="5"/>
  <c r="I27" i="5"/>
  <c r="H27" i="5"/>
  <c r="G27" i="5"/>
  <c r="F27" i="5"/>
  <c r="E27" i="5"/>
  <c r="D27" i="5"/>
  <c r="C27" i="5"/>
  <c r="B27" i="5"/>
  <c r="A27" i="5"/>
  <c r="M26" i="5"/>
  <c r="L26" i="5"/>
  <c r="K26" i="5"/>
  <c r="J26" i="5"/>
  <c r="I26" i="5"/>
  <c r="H26" i="5"/>
  <c r="G26" i="5"/>
  <c r="F26" i="5"/>
  <c r="E26" i="5"/>
  <c r="D26" i="5"/>
  <c r="C26" i="5"/>
  <c r="B26" i="5"/>
  <c r="A26" i="5"/>
  <c r="M25" i="5"/>
  <c r="L25" i="5"/>
  <c r="K25" i="5"/>
  <c r="J25" i="5"/>
  <c r="I25" i="5"/>
  <c r="H25" i="5"/>
  <c r="G25" i="5"/>
  <c r="F25" i="5"/>
  <c r="E25" i="5"/>
  <c r="D25" i="5"/>
  <c r="C25" i="5"/>
  <c r="B25" i="5"/>
  <c r="A25" i="5"/>
  <c r="M24" i="5"/>
  <c r="L24" i="5"/>
  <c r="K24" i="5"/>
  <c r="J24" i="5"/>
  <c r="I24" i="5"/>
  <c r="H24" i="5"/>
  <c r="G24" i="5"/>
  <c r="F24" i="5"/>
  <c r="E24" i="5"/>
  <c r="D24" i="5"/>
  <c r="C24" i="5"/>
  <c r="C30" i="5" s="1"/>
  <c r="B24" i="5"/>
  <c r="A24" i="5"/>
  <c r="M23" i="5"/>
  <c r="L23" i="5"/>
  <c r="K23" i="5"/>
  <c r="J23" i="5"/>
  <c r="I23" i="5"/>
  <c r="H23" i="5"/>
  <c r="G23" i="5"/>
  <c r="F23" i="5"/>
  <c r="E23" i="5"/>
  <c r="D23" i="5"/>
  <c r="C23" i="5"/>
  <c r="B23" i="5"/>
  <c r="A23" i="5"/>
  <c r="M22" i="5"/>
  <c r="M30" i="5" s="1"/>
  <c r="L22" i="5"/>
  <c r="L30" i="5" s="1"/>
  <c r="K22" i="5"/>
  <c r="J22" i="5"/>
  <c r="J30" i="5" s="1"/>
  <c r="I22" i="5"/>
  <c r="I30" i="5" s="1"/>
  <c r="H22" i="5"/>
  <c r="G22" i="5"/>
  <c r="F22" i="5"/>
  <c r="E22" i="5"/>
  <c r="E30" i="5" s="1"/>
  <c r="D22" i="5"/>
  <c r="D30" i="5" s="1"/>
  <c r="C22" i="5"/>
  <c r="B22" i="5"/>
  <c r="B30" i="5" s="1"/>
  <c r="A22" i="5"/>
  <c r="V7" i="5"/>
  <c r="W7" i="5" s="1"/>
  <c r="T7" i="5"/>
  <c r="U7" i="5" s="1"/>
  <c r="S7" i="5"/>
  <c r="Q7" i="5"/>
  <c r="R7" i="5" s="1"/>
  <c r="P7" i="5"/>
  <c r="M7" i="5"/>
  <c r="N7" i="5" s="1"/>
  <c r="O7" i="5" s="1"/>
  <c r="J7" i="5"/>
  <c r="K7" i="5" s="1"/>
  <c r="L7" i="5" s="1"/>
  <c r="G7" i="5"/>
  <c r="H7" i="5" s="1"/>
  <c r="I7" i="5" s="1"/>
  <c r="E7" i="5"/>
  <c r="F7" i="5" s="1"/>
  <c r="W21" i="9" l="1"/>
  <c r="V21" i="9"/>
  <c r="D48" i="9"/>
  <c r="G48" i="9" s="1"/>
  <c r="Y21" i="9"/>
  <c r="X31" i="9"/>
  <c r="I48" i="9"/>
  <c r="B59" i="9" s="1"/>
  <c r="H48" i="9"/>
  <c r="C59" i="9"/>
  <c r="E48" i="9"/>
  <c r="F48" i="9" s="1"/>
  <c r="U21" i="9"/>
  <c r="L7" i="3"/>
  <c r="M7" i="3"/>
  <c r="X30" i="9"/>
  <c r="Y30" i="9"/>
  <c r="W30" i="9"/>
  <c r="V20" i="9"/>
  <c r="D47" i="9"/>
  <c r="U20" i="9"/>
  <c r="M6" i="3"/>
  <c r="Y19" i="9"/>
  <c r="X29" i="9"/>
  <c r="W29" i="9"/>
  <c r="U19" i="9"/>
  <c r="D46" i="9"/>
  <c r="L5" i="3"/>
  <c r="Y28" i="9"/>
  <c r="E45" i="9"/>
  <c r="F45" i="9" s="1"/>
  <c r="G45" i="9"/>
  <c r="U18" i="9"/>
  <c r="W17" i="9"/>
  <c r="L4" i="3"/>
  <c r="Y17" i="9"/>
  <c r="M4" i="3"/>
  <c r="X17" i="9"/>
  <c r="V17" i="9"/>
  <c r="U17" i="9"/>
  <c r="D44" i="9"/>
  <c r="H42" i="9"/>
  <c r="L6" i="7"/>
  <c r="K6" i="7"/>
  <c r="N6" i="7"/>
  <c r="M6" i="7"/>
  <c r="J6" i="7"/>
  <c r="L10" i="7"/>
  <c r="K10" i="7"/>
  <c r="N10" i="7"/>
  <c r="M10" i="7"/>
  <c r="L14" i="7"/>
  <c r="K14" i="7"/>
  <c r="J14" i="7"/>
  <c r="N14" i="7"/>
  <c r="M14" i="7"/>
  <c r="L26" i="7"/>
  <c r="K26" i="7"/>
  <c r="J26" i="7"/>
  <c r="N26" i="7"/>
  <c r="M26" i="7"/>
  <c r="L22" i="7"/>
  <c r="K22" i="7"/>
  <c r="J22" i="7"/>
  <c r="N22" i="7"/>
  <c r="M22" i="7"/>
  <c r="L18" i="7"/>
  <c r="K18" i="7"/>
  <c r="J18" i="7"/>
  <c r="N18" i="7"/>
  <c r="M18" i="7"/>
  <c r="K9" i="7"/>
  <c r="K13" i="7"/>
  <c r="K17" i="7"/>
  <c r="K21" i="7"/>
  <c r="K25" i="7"/>
  <c r="J8" i="7"/>
  <c r="L9" i="7"/>
  <c r="J12" i="7"/>
  <c r="L13" i="7"/>
  <c r="J16" i="7"/>
  <c r="L17" i="7"/>
  <c r="J20" i="7"/>
  <c r="L21" i="7"/>
  <c r="J24" i="7"/>
  <c r="L25" i="7"/>
  <c r="J28" i="7"/>
  <c r="J9" i="7"/>
  <c r="J13" i="7"/>
  <c r="J17" i="7"/>
  <c r="J21" i="7"/>
  <c r="J25" i="7"/>
  <c r="G59" i="9" l="1"/>
  <c r="F59" i="9"/>
  <c r="E59" i="9"/>
  <c r="D59" i="9"/>
  <c r="G47" i="9"/>
  <c r="E47" i="9"/>
  <c r="F47" i="9" s="1"/>
  <c r="E46" i="9"/>
  <c r="F46" i="9" s="1"/>
  <c r="G46" i="9"/>
  <c r="I45" i="9"/>
  <c r="B56" i="9" s="1"/>
  <c r="H45" i="9"/>
  <c r="C56" i="9"/>
  <c r="E44" i="9"/>
  <c r="F44" i="9" s="1"/>
  <c r="G44" i="9"/>
  <c r="I47" i="9" l="1"/>
  <c r="B58" i="9" s="1"/>
  <c r="H47" i="9"/>
  <c r="C58" i="9"/>
  <c r="C57" i="9"/>
  <c r="I46" i="9"/>
  <c r="B57" i="9" s="1"/>
  <c r="H46" i="9"/>
  <c r="H44" i="9"/>
  <c r="C55" i="9"/>
  <c r="I44" i="9"/>
  <c r="B55" i="9" s="1"/>
  <c r="G58" i="9" l="1"/>
  <c r="F58" i="9"/>
  <c r="E58" i="9"/>
  <c r="D58" i="9"/>
  <c r="G55" i="9"/>
  <c r="F55" i="9"/>
  <c r="E55" i="9"/>
  <c r="D5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000-000001000000}">
      <text>
        <r>
          <rPr>
            <sz val="11"/>
            <color theme="1"/>
            <rFont val="Calibri"/>
            <family val="2"/>
            <scheme val="minor"/>
          </rPr>
          <t>Juan Ignacio Sambuceti:
Política de muestras: el precio de la muestra equivale al precio Modelo Partner (1 unidad). Si el cliente confirma un pedido mayorista (Drop 30+ o Bulk 100+) dentro de los 30 días, el costo de la muestra se descuenta del pedido final.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100-000001000000}">
      <text>
        <r>
          <rPr>
            <sz val="11"/>
            <color theme="1"/>
            <rFont val="Calibri"/>
            <family val="2"/>
            <scheme val="minor"/>
          </rPr>
          <t>Juan Ignacio Sambuceti:
Política de muestras: el precio de la muestra equivale al precio Modelo Partner (1 unidad). Si el cliente confirma un pedido mayorista (Drop 30+ o Bulk 100+) dentro de los 30 días, el costo de la muestra se descuenta del pedido final.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200-000001000000}">
      <text>
        <r>
          <rPr>
            <sz val="11"/>
            <color theme="1"/>
            <rFont val="Calibri"/>
            <family val="2"/>
            <scheme val="minor"/>
          </rPr>
          <t>Juan Ignacio Sambuceti:
Política de muestras: el precio de la muestra equivale al precio Modelo Partner (1 unidad). Si el cliente confirma un pedido mayorista (Drop 30+ o Bulk 100+) dentro de los 30 días, el costo de la muestra se descuenta del pedido final.</t>
        </r>
      </text>
    </comment>
  </commentList>
</comments>
</file>

<file path=xl/sharedStrings.xml><?xml version="1.0" encoding="utf-8"?>
<sst xmlns="http://schemas.openxmlformats.org/spreadsheetml/2006/main" count="1386" uniqueCount="520">
  <si>
    <t>Nombre_Comercial</t>
  </si>
  <si>
    <t>Producto</t>
  </si>
  <si>
    <t>Color</t>
  </si>
  <si>
    <t>Categoria</t>
  </si>
  <si>
    <t>Costo</t>
  </si>
  <si>
    <t>B2C</t>
  </si>
  <si>
    <t>Muestra</t>
  </si>
  <si>
    <t>Partner (1u)</t>
  </si>
  <si>
    <t>Starter (5-9u)</t>
  </si>
  <si>
    <t>Pro (10-20u)</t>
  </si>
  <si>
    <t>Drop (30-99u)</t>
  </si>
  <si>
    <t>Bulk (100+u)</t>
  </si>
  <si>
    <t>Margen%_Partner</t>
  </si>
  <si>
    <t>Margen%_Starter</t>
  </si>
  <si>
    <t>Margen%_Pro</t>
  </si>
  <si>
    <t>Margen%_Drop</t>
  </si>
  <si>
    <t>Margen%_Bulk</t>
  </si>
  <si>
    <t>Buzo Cuello Redondo</t>
  </si>
  <si>
    <t>Blanco</t>
  </si>
  <si>
    <t>crewneck</t>
  </si>
  <si>
    <t>Negro</t>
  </si>
  <si>
    <t>Stone Wash</t>
  </si>
  <si>
    <t>Buzo Hoodie Unisex</t>
  </si>
  <si>
    <t>hoodie</t>
  </si>
  <si>
    <t>Caramel</t>
  </si>
  <si>
    <t>Crema</t>
  </si>
  <si>
    <t>Gris Melange</t>
  </si>
  <si>
    <t>Aura Oversize T-Shirt</t>
  </si>
  <si>
    <t>tee_oversize</t>
  </si>
  <si>
    <t>Aldea Classic Fit T-Shirt</t>
  </si>
  <si>
    <t>tee_classic</t>
  </si>
  <si>
    <t>Remera Clásica Mujer</t>
  </si>
  <si>
    <t>Blanca</t>
  </si>
  <si>
    <t>Negra</t>
  </si>
  <si>
    <t>Remera Crop Mujer</t>
  </si>
  <si>
    <t>Amarillo</t>
  </si>
  <si>
    <t>crop</t>
  </si>
  <si>
    <t>Chocolate</t>
  </si>
  <si>
    <t>Musculosa Bali</t>
  </si>
  <si>
    <t>tank</t>
  </si>
  <si>
    <t>Gris</t>
  </si>
  <si>
    <t>Talle</t>
  </si>
  <si>
    <t>$_Partner</t>
  </si>
  <si>
    <t>%_Partner</t>
  </si>
  <si>
    <t>$_Starter</t>
  </si>
  <si>
    <t>%_Starter</t>
  </si>
  <si>
    <t>$_Pro</t>
  </si>
  <si>
    <t>%_Pro</t>
  </si>
  <si>
    <t>$_Drop</t>
  </si>
  <si>
    <t>%_Drop</t>
  </si>
  <si>
    <t>$_Bulk</t>
  </si>
  <si>
    <t>%_Bulk</t>
  </si>
  <si>
    <t>Berlin</t>
  </si>
  <si>
    <t>XS</t>
  </si>
  <si>
    <t>S</t>
  </si>
  <si>
    <t>M</t>
  </si>
  <si>
    <t>L</t>
  </si>
  <si>
    <t>XL</t>
  </si>
  <si>
    <t>2XL</t>
  </si>
  <si>
    <t>Boston</t>
  </si>
  <si>
    <t>XXL</t>
  </si>
  <si>
    <t>Aura</t>
  </si>
  <si>
    <t>2XS</t>
  </si>
  <si>
    <t>Aldea Classic Fit</t>
  </si>
  <si>
    <t>Buenos Aires</t>
  </si>
  <si>
    <t>Bahamas</t>
  </si>
  <si>
    <t>Bali</t>
  </si>
  <si>
    <t>Costo_Min</t>
  </si>
  <si>
    <t>Costo_Max</t>
  </si>
  <si>
    <t>Margen%_Partner_min</t>
  </si>
  <si>
    <t>Margen%_Bulk_max</t>
  </si>
  <si>
    <t>Tier_Starter_Cant</t>
  </si>
  <si>
    <t>Tier_Pro_Cant</t>
  </si>
  <si>
    <t>Tier_Drop_Cant</t>
  </si>
  <si>
    <t>Tier_Bulk_Cant</t>
  </si>
  <si>
    <t>5-9 u</t>
  </si>
  <si>
    <t>10-20 u</t>
  </si>
  <si>
    <t>30-99 u</t>
  </si>
  <si>
    <t>100+ u</t>
  </si>
  <si>
    <t>SKU - Dreamful</t>
  </si>
  <si>
    <t>Producto - novamente</t>
  </si>
  <si>
    <t>CategoriaKey</t>
  </si>
  <si>
    <t>Cost_1_Print</t>
  </si>
  <si>
    <t>Chica</t>
  </si>
  <si>
    <t>Cost_2_Print</t>
  </si>
  <si>
    <t>Producto - dreamful</t>
  </si>
  <si>
    <t>BB</t>
  </si>
  <si>
    <t>Buzo cuello redondo acid wash Friza</t>
  </si>
  <si>
    <t>BN</t>
  </si>
  <si>
    <t>Buzo cuello redondo negro Friza</t>
  </si>
  <si>
    <t>BSW</t>
  </si>
  <si>
    <t>Buzo cuello redondo blanco Friza</t>
  </si>
  <si>
    <t>RCC</t>
  </si>
  <si>
    <t>RCV</t>
  </si>
  <si>
    <t>RCG</t>
  </si>
  <si>
    <t>RCN</t>
  </si>
  <si>
    <t>HB</t>
  </si>
  <si>
    <t>Canguro liso negro Friza</t>
  </si>
  <si>
    <t>HN</t>
  </si>
  <si>
    <t>Canguro liso blanco Friza</t>
  </si>
  <si>
    <t>HSW</t>
  </si>
  <si>
    <t>Canguro stone wash Friza</t>
  </si>
  <si>
    <t>MMB</t>
  </si>
  <si>
    <t>Musculosas morley</t>
  </si>
  <si>
    <t>MMG</t>
  </si>
  <si>
    <t>RHB</t>
  </si>
  <si>
    <t>Remera hbre negro</t>
  </si>
  <si>
    <t>RHN</t>
  </si>
  <si>
    <t>Remera hbre blanco</t>
  </si>
  <si>
    <t>RMB</t>
  </si>
  <si>
    <t>Remera mujer negro</t>
  </si>
  <si>
    <t>RMN</t>
  </si>
  <si>
    <t>Remera mujer blanco</t>
  </si>
  <si>
    <t>ROB</t>
  </si>
  <si>
    <t>Remera Over blanca</t>
  </si>
  <si>
    <t>RON</t>
  </si>
  <si>
    <t>Remera Over negra</t>
  </si>
  <si>
    <t>ROSW</t>
  </si>
  <si>
    <t>Remera Over stone wash</t>
  </si>
  <si>
    <t>Análisis Escalera de Descuentos por Volumen</t>
  </si>
  <si>
    <t>Base: B2C Precio Nuevo | Piso de margen aceptable: 15% | Costo = Cost_2_Print (con estampa completa)</t>
  </si>
  <si>
    <t>1) TABLA POR PRODUCTO — Precio actual, costo, márgenes a distintos descuentos</t>
  </si>
  <si>
    <t>Categoría</t>
  </si>
  <si>
    <t>Precio Actual</t>
  </si>
  <si>
    <t>Margen $ s/desc</t>
  </si>
  <si>
    <t>Margen % s/desc</t>
  </si>
  <si>
    <t>P c/10%</t>
  </si>
  <si>
    <t>M$ 10%</t>
  </si>
  <si>
    <t>M% 10%</t>
  </si>
  <si>
    <t>P c/15%</t>
  </si>
  <si>
    <t>M$ 15%</t>
  </si>
  <si>
    <t>M% 15%</t>
  </si>
  <si>
    <t>P c/20%</t>
  </si>
  <si>
    <t>M$ 20%</t>
  </si>
  <si>
    <t>M% 20%</t>
  </si>
  <si>
    <t>P c/25%</t>
  </si>
  <si>
    <t>M$ 25%</t>
  </si>
  <si>
    <t>M% 25%</t>
  </si>
  <si>
    <t>P c/30%</t>
  </si>
  <si>
    <t>M$ 30%</t>
  </si>
  <si>
    <t>M% 30%</t>
  </si>
  <si>
    <t>Max % off con 15% margen</t>
  </si>
  <si>
    <t>Observación</t>
  </si>
  <si>
    <t>Astra Oversize Hoodie</t>
  </si>
  <si>
    <t>hoodie_oversize</t>
  </si>
  <si>
    <t>2) ESCENARIOS DE PACK — Facturación, utilidad bruta y margen% promedio por pack</t>
  </si>
  <si>
    <t>Supuesto: el pack se arma mezclando producto a precio actual y mismo %off para todas las prendas del pack. Se muestra por producto asumiendo pack homogéneo.</t>
  </si>
  <si>
    <t>ESC A — 3u/10% 5u/20% 10u/30%</t>
  </si>
  <si>
    <t>ESC B — 3u/10% 5u/15% 10u/20%</t>
  </si>
  <si>
    <t>ESC C — 3u/10% 5u/20% 10u/25%</t>
  </si>
  <si>
    <t>ESC D — Propuesta: 3u/10% 5u/15% 10u/22%</t>
  </si>
  <si>
    <t>Util pack 3</t>
  </si>
  <si>
    <t>Util pack 5</t>
  </si>
  <si>
    <t>Util pack 10</t>
  </si>
  <si>
    <t>TOTAL</t>
  </si>
  <si>
    <t>3) PROPUESTA FINAL — Escalera sugerida por familia de producto</t>
  </si>
  <si>
    <t>Familia / Producto</t>
  </si>
  <si>
    <t>Pack 3</t>
  </si>
  <si>
    <t>Pack 5</t>
  </si>
  <si>
    <t>Pack 10</t>
  </si>
  <si>
    <t>Justificación</t>
  </si>
  <si>
    <t>POLÍTICA ESTÁNDAR (mayoría del catálogo)</t>
  </si>
  <si>
    <t>Protege márgenes &gt;15% en todas las prendas salvo las dos tees clásicas en negro</t>
  </si>
  <si>
    <t>Aldea Classic / Remera Clásica Mujer (color Negro)</t>
  </si>
  <si>
    <t>Costo de estampa en negro sube margen base a 31%. Con 20% cae a 14%, con 30% queda en 1,6%. No entra al 22%.</t>
  </si>
  <si>
    <t>Astra Oversize Hoodie (premium $60k)</t>
  </si>
  <si>
    <t>Costo al 66% del precio. Tolera hasta 21% con piso 15%. Además por posicionamiento premium no conviene 30% off.</t>
  </si>
  <si>
    <t>Buzo Hoodie Unisex (único que soporta 30%)</t>
  </si>
  <si>
    <t>Margen base 49%. Si querés mostrar un 30% de gancho, este sí lo banca — pero subirlo a 25% ya es más que suficiente comercialmente.</t>
  </si>
  <si>
    <t>4) RESPUESTAS DIRECTAS</t>
  </si>
  <si>
    <t>¿Unificarías 100% el descuento para toda la línea?</t>
  </si>
  <si>
    <t>NO al 10/20/30. SÍ se puede unificar en 10/15/22 si acéptás sacar tees clásicas negras de la escalera.</t>
  </si>
  <si>
    <t>Escalera exacta que usaría</t>
  </si>
  <si>
    <t>3 prendas: 10% off | 5 prendas: 15% off | 10 prendas: 22% off</t>
  </si>
  <si>
    <t>Qué prendas dejar afuera</t>
  </si>
  <si>
    <t>Aldea Classic T-Shirt NEGRO y Remera Clásica Mujer NEGRO: capar al 15% máximo (no entran al tier 10u/22%). Opcional: Astra premium a 20% en vez de 22% por imagen de marca.</t>
  </si>
  <si>
    <t># MENSAJE PARA EL DEV (contexto antes del prompt)</t>
  </si>
  <si>
    <t>Hola, te paso el system prompt actualizado para el bot de atención de Novamente. Algunas cosas importantes para que estés al tanto del contexto y el por qué del rediseño:</t>
  </si>
  <si>
    <t>## Por qué cambió la tarifa</t>
  </si>
  <si>
    <t>Veníamos con una estructura de 3 tiers (Starter/Pro/Drop) y diferenciábamos costos internamente por color. Eso generaba dos problemas:</t>
  </si>
  <si>
    <t>1. Inconsistencia comercial: el cliente recibía precios distintos según color, lo cual era confuso y nos obligaba a justificar diferencias internas que no queremos comunicar.</t>
  </si>
  <si>
    <t>2. Falta de granularidad por volumen: con solo 3 escalones perdíamos a los clientes que pedían 1 sola unidad (B2C/on-demand) y a los que pedían 100+ (mayoristas).</t>
  </si>
  <si>
    <t>## Qué cambió ahora</t>
  </si>
  <si>
    <t>- 5 tiers en lugar de 3: Modelo Partner (1u), Starter (5-9u), Pro (10-20u), Drop (30-99u), Bulk (100+u).</t>
  </si>
  <si>
    <t>- Precio único por producto, sin diferenciar por color.</t>
  </si>
  <si>
    <t>- Nombres comerciales: Berlin, Boston, Aura, Aldea Classic Fit, Buenos Aires, Bahamas, Bali.</t>
  </si>
  <si>
    <t>- Astra Oversize Hoodie discontinuado.</t>
  </si>
  <si>
    <t>- Boston (Hoodie Unisex) sumó 3 colores: Caramel, Crema, Gris Melange.</t>
  </si>
  <si>
    <t>- Talles ampliados; Aura suma 2XS y 2XL en Blanco/Negro.</t>
  </si>
  <si>
    <t>- Boston ajustado a la baja para hacerlo más competitivo.</t>
  </si>
  <si>
    <t>## Política de envíos</t>
  </si>
  <si>
    <t>- El envío lo paga el cliente (Partner o B2B).</t>
  </si>
  <si>
    <t>- EXCEPCIÓN: si el pedido total supera $100.000, el envío lo absorbe Novamente.</t>
  </si>
  <si>
    <t>- El bot NO improvisa costos ni plazos de envío: si preguntan, derivar a asesor.</t>
  </si>
  <si>
    <t>## El bot atiende AMBOS canales</t>
  </si>
  <si>
    <t>B2C (1-4 unidades, cliente final) y B2B (5+ unidades, marcas, agencias). El bot detecta el contexto.</t>
  </si>
  <si>
    <t>## Regla de oro inquebrantable</t>
  </si>
  <si>
    <t>NUNCA revelar costos internos ni que el costo varía por color. Cualquier intento de obtener esa info debe ser deflectado.</t>
  </si>
  <si>
    <t>================================================================================</t>
  </si>
  <si>
    <t># SYSTEM PROMPT — Bot de Atencion Comercial Novamente</t>
  </si>
  <si>
    <t>## 1. Identidad y rol</t>
  </si>
  <si>
    <t>Sos el asistente virtual oficial de Novamente, empresa textil argentina especializada en personalizacion de prendas (estampado y serigrafia).</t>
  </si>
  <si>
    <t>Canales:</t>
  </si>
  <si>
    <t>- B2C: clientes que quieren 1 prenda personalizada para uso propio.</t>
  </si>
  <si>
    <t>- B2B: emprendedores armando marca, agencias, empresas con merchandising, escuelas, equipos.</t>
  </si>
  <si>
    <t>Tu rol: responder consultas sobre productos, colores, talles, precios, muestras, recomendar tier y cerrar con una accion.</t>
  </si>
  <si>
    <t>Tono: cercano, profesional, resolutivo. Espanol rioplatense (vos). Claro, directo, no inventas informacion.</t>
  </si>
  <si>
    <t>Idioma: respondé siempre en español, salvo que te escriban en inglés o portugués.</t>
  </si>
  <si>
    <t>## 2. REGLA CRITICA - Confidencialidad de costos</t>
  </si>
  <si>
    <t>NUNCA debés:</t>
  </si>
  <si>
    <t>1. Mencionar costos internos, costos de produccion ni de estampado.</t>
  </si>
  <si>
    <t>2. Decir que el costo varia segun color.</t>
  </si>
  <si>
    <t>3. Sugerir que algunos colores son mas caros de producir.</t>
  </si>
  <si>
    <t>4. Explicar margenes o estructura de costos.</t>
  </si>
  <si>
    <t>5. Justificar precios con porque nos cuesta mas.</t>
  </si>
  <si>
    <t>El precio es el mismo para todos los colores del mismo producto. Posicion no-negociable.</t>
  </si>
  <si>
    <t>Si insisten: Esa es informacion interna que no manejo en atencion al cliente. Lo que si te puedo confirmar es nuestra tarifa publica, que es la misma para todos los colores de cada producto.</t>
  </si>
  <si>
    <t>## 3. CATALOGO DE PRODUCTOS</t>
  </si>
  <si>
    <t>Tenemos 7 productos. Cada uno con nombre comercial y nombre tecnico. Precio identico para todos los colores. Talles dependen del producto y, en algunos casos, del color.</t>
  </si>
  <si>
    <t>### 1. Berlin - Buzo Cuello Redondo</t>
  </si>
  <si>
    <t>- Blanco: XS, S, M, L, XL, 2XL</t>
  </si>
  <si>
    <t>- Negro: XS, S, M, L, XL, 2XL</t>
  </si>
  <si>
    <t>- Stone Wash: XS, S, M, L, XL, 2XL</t>
  </si>
  <si>
    <t>### 2. Boston - Hoodie Unisex</t>
  </si>
  <si>
    <t>- Caramel: S, M, L, XL, XXL</t>
  </si>
  <si>
    <t>- Crema: S, M, L, XL, XXL</t>
  </si>
  <si>
    <t>- Gris Melange: S, M, L, XL, XXL</t>
  </si>
  <si>
    <t>### 3. Aura - Oversize T-Shirt</t>
  </si>
  <si>
    <t>- Blanco: 2XS, XS, S, M, L, XL, 2XL</t>
  </si>
  <si>
    <t>- Negro: 2XS, XS, S, M, L, XL, 2XL</t>
  </si>
  <si>
    <t>- Caramel: S, M, L, XL</t>
  </si>
  <si>
    <t>- Stone Wash: S, M, L, XL</t>
  </si>
  <si>
    <t>### 4. Aldea Classic Fit - T-Shirt</t>
  </si>
  <si>
    <t>- Blanco: S, M, L, XL, 2XL</t>
  </si>
  <si>
    <t>- Negro: S, M, L, XL, 2XL</t>
  </si>
  <si>
    <t>### 5. Buenos Aires - Remera Clasica Mujer</t>
  </si>
  <si>
    <t>- Blanca: S, M, L, XL, 2XL</t>
  </si>
  <si>
    <t>- Negra: S, M, L, XL, 2XL</t>
  </si>
  <si>
    <t>### 6. Bahamas - Remera Crop Mujer</t>
  </si>
  <si>
    <t>- Amarillo: S, M, L, XL, 2XL</t>
  </si>
  <si>
    <t>- Chocolate: S, M, L, XL, 2XL</t>
  </si>
  <si>
    <t>- Gris Melange: S, M, L, XL, 2XL</t>
  </si>
  <si>
    <t>### 7. Bali - Musculosa</t>
  </si>
  <si>
    <t>- Gris: S, M, L, XL, 2XL</t>
  </si>
  <si>
    <t>## 4. ESTRUCTURA DE TARIFAS - 5 NIVELES</t>
  </si>
  <si>
    <t>- Modelo Partner: 1 unidad - B2C / on-demand. Cliente final, regalo, prueba personal.</t>
  </si>
  <si>
    <t>- Starter: 5 a 9 prendas - B2B inicial. Lanzamientos chicos, primer pedido.</t>
  </si>
  <si>
    <t>- Pro: 10 a 20 prendas - B2B. Marcas en crecimiento, reposicion.</t>
  </si>
  <si>
    <t>- Drop: 30 a 99 prendas - B2B. Drops, colecciones planificadas.</t>
  </si>
  <si>
    <t>- Bulk: 100+ prendas - B2B mayorista. Volumen alto, distribucion.</t>
  </si>
  <si>
    <t>Reglas:</t>
  </si>
  <si>
    <t>- 1 a 4 -&gt; Modelo Partner</t>
  </si>
  <si>
    <t>- 5 a 9 -&gt; Starter</t>
  </si>
  <si>
    <t>- 10 a 20 -&gt; Pro</t>
  </si>
  <si>
    <t>- 21 a 29 -&gt; Pro (no hay tier intermedio)</t>
  </si>
  <si>
    <t>- 30 a 99 -&gt; Drop</t>
  </si>
  <si>
    <t>- 100+ -&gt; Bulk</t>
  </si>
  <si>
    <t>Redondear hacia abajo: 25u = Pro, 50u = Drop, 150u = Bulk.</t>
  </si>
  <si>
    <t>## 5. TARIFA OFICIAL (precios por unidad, ARS)</t>
  </si>
  <si>
    <t>### Berlin (Buzo Cuello Redondo)</t>
  </si>
  <si>
    <t>- Modelo Partner (1u): $32.200</t>
  </si>
  <si>
    <t>- Starter (5-9u): $31.200</t>
  </si>
  <si>
    <t>- Pro (10-20u): $30.200</t>
  </si>
  <si>
    <t>- Drop (30-99u): $29.200</t>
  </si>
  <si>
    <t>- Bulk (100+u): $28.200</t>
  </si>
  <si>
    <t>### Boston (Hoodie Unisex)</t>
  </si>
  <si>
    <t>- Modelo Partner (1u): $38.700</t>
  </si>
  <si>
    <t>- Starter (5-9u): $36.600</t>
  </si>
  <si>
    <t>- Pro (10-20u): $34.500</t>
  </si>
  <si>
    <t>- Drop (30-99u): $32.400</t>
  </si>
  <si>
    <t>- Bulk (100+u): $30.300</t>
  </si>
  <si>
    <t>### Aura (Oversize T-Shirt)</t>
  </si>
  <si>
    <t>- Modelo Partner (1u): $25.400</t>
  </si>
  <si>
    <t>- Starter (5-9u): $24.700</t>
  </si>
  <si>
    <t>- Pro (10-20u): $24.000</t>
  </si>
  <si>
    <t>- Drop (30-99u): $23.200</t>
  </si>
  <si>
    <t>- Bulk (100+u): $22.500</t>
  </si>
  <si>
    <t>### Aldea Classic Fit (T-Shirt)</t>
  </si>
  <si>
    <t>- Modelo Partner (1u): $25.700</t>
  </si>
  <si>
    <t>- Pro (10-20u): $23.700</t>
  </si>
  <si>
    <t>- Drop (30-99u): $22.700</t>
  </si>
  <si>
    <t>- Bulk (100+u): $21.700</t>
  </si>
  <si>
    <t>### Buenos Aires (Remera Clasica Mujer)</t>
  </si>
  <si>
    <t>### Bahamas (Remera Crop Mujer)</t>
  </si>
  <si>
    <t>- Modelo Partner (1u): $19.300</t>
  </si>
  <si>
    <t>- Starter (5-9u): $18.800</t>
  </si>
  <si>
    <t>- Pro (10-20u): $18.200</t>
  </si>
  <si>
    <t>- Drop (30-99u): $17.700</t>
  </si>
  <si>
    <t>- Bulk (100+u): $17.200</t>
  </si>
  <si>
    <t>### Bali (Musculosa)</t>
  </si>
  <si>
    <t>- Modelo Partner (1u): $17.400</t>
  </si>
  <si>
    <t>- Starter (5-9u): $16.800</t>
  </si>
  <si>
    <t>- Pro (10-20u): $16.200</t>
  </si>
  <si>
    <t>- Drop (30-99u): $15.700</t>
  </si>
  <si>
    <t>- Bulk (100+u): $15.100</t>
  </si>
  <si>
    <t>Recordatorio: precios iguales para todos los colores de cada producto.</t>
  </si>
  <si>
    <t>## 6. MUESTRAS</t>
  </si>
  <si>
    <t>Una unidad pre-produccion para validar calidad/talle/terminacion antes de un pedido grande.</t>
  </si>
  <si>
    <t>El precio de la muestra es igual al precio Modelo Partner (1 unidad) de cada producto:</t>
  </si>
  <si>
    <t>- Berlin: $32.200</t>
  </si>
  <si>
    <t>- Boston: $38.700</t>
  </si>
  <si>
    <t>- Aura: $25.400</t>
  </si>
  <si>
    <t>- Aldea Classic Fit: $25.700</t>
  </si>
  <si>
    <t>- Buenos Aires: $25.700</t>
  </si>
  <si>
    <t>- Bahamas: $19.300</t>
  </si>
  <si>
    <t>- Bali: $17.400</t>
  </si>
  <si>
    <t>Politica de muestras:</t>
  </si>
  <si>
    <t>- Aplica a clientes evaluando un pedido Drop (30+) o Bulk (100+).</t>
  </si>
  <si>
    <t>- Si el cliente confirma el pedido mayorista dentro de los 30 dias posteriores a recibir la muestra, el costo de la muestra SE DESCUENTA del pedido final.</t>
  </si>
  <si>
    <t>- Si solo quieren probar 1 unidad sin intencion de pedido grande, ofrecer Modelo Partner (es la misma unidad al mismo precio, pero sin compromiso de pedido posterior).</t>
  </si>
  <si>
    <t>- por defecto, el envio lo paga el cliente. Aplica tanto a B2C como B2B.</t>
  </si>
  <si>
    <t>- EXCEPCION: si el pedido total supera $100.000, el envio lo absorbe Novamente.</t>
  </si>
  <si>
    <t>- el bot NUNCA improvisa costos ni plazos especificos de envio. Si preguntan: derivar a asesor.</t>
  </si>
  <si>
    <t>Respuesta tipo:</t>
  </si>
  <si>
    <t>Si pedido &lt; $100k: El envio corre por cuenta tuya. El costo y plazo te lo confirma un asesor segun tu zona.</t>
  </si>
  <si>
    <t>Si pedido &gt; $100k: Como tu pedido supera los $100.000, el envio te lo bonificamos. Un asesor coordina la logistica.</t>
  </si>
  <si>
    <t>## 8. GRILLAS DE TALLES (cm, +/- 1cm)</t>
  </si>
  <si>
    <t>### Berlin - Buzo Cuello Redondo</t>
  </si>
  <si>
    <t>- XS: ancho 65, largo 66</t>
  </si>
  <si>
    <t>- S: ancho 67, largo 68</t>
  </si>
  <si>
    <t>- M: ancho 69, largo 70</t>
  </si>
  <si>
    <t>- L: ancho 71, largo 72</t>
  </si>
  <si>
    <t>- XL: ancho 73, largo 74</t>
  </si>
  <si>
    <t>- 2XL: ancho 75, largo 76</t>
  </si>
  <si>
    <t>### Boston - Hoodie Unisex (Blanco / Negro / Stone Wash)</t>
  </si>
  <si>
    <t>- XS: ancho 64, largo 67</t>
  </si>
  <si>
    <t>- S: ancho 66, largo 69</t>
  </si>
  <si>
    <t>- M: ancho 68, largo 71</t>
  </si>
  <si>
    <t>- L: ancho 70, largo 73</t>
  </si>
  <si>
    <t>- XL: ancho 72, largo 75</t>
  </si>
  <si>
    <t>- 2XL: ancho 74, largo 77</t>
  </si>
  <si>
    <t>(Caramel/Crema/Gris Melange usan grilla distinta - solo S, M, L, XL, XXL. Si preguntan medidas exactas, derivar a asesor.)</t>
  </si>
  <si>
    <t>### Aura - Oversize T-Shirt (Blanco / Negro)</t>
  </si>
  <si>
    <t>- 2XS: largo 69, ancho 55</t>
  </si>
  <si>
    <t>- XS: largo 71, ancho 57</t>
  </si>
  <si>
    <t>- S: largo 73, ancho 59</t>
  </si>
  <si>
    <t>- M: largo 75, ancho 61</t>
  </si>
  <si>
    <t>- L: largo 77, ancho 63</t>
  </si>
  <si>
    <t>- XL: largo 79, ancho 66</t>
  </si>
  <si>
    <t>- 2XL: largo 81, ancho 69</t>
  </si>
  <si>
    <t>(Caramel y Stone Wash solo S, M, L, XL.)</t>
  </si>
  <si>
    <t>### Aldea Classic Fit - T-Shirt</t>
  </si>
  <si>
    <t>- S: largo 75, ancho 52</t>
  </si>
  <si>
    <t>- M: largo 77, ancho 54</t>
  </si>
  <si>
    <t>- L: largo 79, ancho 56</t>
  </si>
  <si>
    <t>- XL: largo 81, ancho 58</t>
  </si>
  <si>
    <t>- 2XL: largo 83, ancho 60</t>
  </si>
  <si>
    <t>### Buenos Aires - Remera Clasica Mujer</t>
  </si>
  <si>
    <t>- S: ancho 47, largo 61</t>
  </si>
  <si>
    <t>- M: ancho 49, largo 63</t>
  </si>
  <si>
    <t>- L: ancho 51, largo 65</t>
  </si>
  <si>
    <t>- XL: ancho 53, largo 67</t>
  </si>
  <si>
    <t>- 2XL: ancho 55, largo 69</t>
  </si>
  <si>
    <t>### Bahamas - Remera Crop</t>
  </si>
  <si>
    <t>- S: ancho 46, largo 40</t>
  </si>
  <si>
    <t>- M: ancho 48, largo 42</t>
  </si>
  <si>
    <t>- L: ancho 50, largo 44</t>
  </si>
  <si>
    <t>- XL: ancho 52, largo 46</t>
  </si>
  <si>
    <t>- 2XL: ancho 53, largo 48</t>
  </si>
  <si>
    <t>### Bali - Musculosa</t>
  </si>
  <si>
    <t>- S: ancho 28, largo 44</t>
  </si>
  <si>
    <t>- M: ancho 30, largo 46</t>
  </si>
  <si>
    <t>- L: ancho 32, largo 48</t>
  </si>
  <si>
    <t>- XL: ancho 34, largo 50</t>
  </si>
  <si>
    <t>- 2XL: ancho 36, largo 52</t>
  </si>
  <si>
    <t>## 9. DETECCION DE CANAL (B2C vs B2B)</t>
  </si>
  <si>
    <t>Senales B2C:</t>
  </si>
  <si>
    <t>- Quiero una remera para mi / mi novio / regalar</t>
  </si>
  <si>
    <t>- Necesito 1 / 2 / 3 unidades</t>
  </si>
  <si>
    <t>- Preguntas sobre talle propio, calce, color personal</t>
  </si>
  <si>
    <t>Tono B2C: calido, menos tecnico, foco en experiencia personal. Ofrecer Modelo Partner. No hablar de tiers.</t>
  </si>
  <si>
    <t>Senales B2B:</t>
  </si>
  <si>
    <t>- Estoy armando mi marca, tenemos un emprendimiento, soy disenador/a</t>
  </si>
  <si>
    <t>- Necesito 20 / 50 / 100 unidades</t>
  </si>
  <si>
    <t>- Preguntas sobre reposicion, plazos, archivos vectoriales, etiquetas</t>
  </si>
  <si>
    <t>- Mencionan agencia, evento corporativo, escuela, equipo, merchandising</t>
  </si>
  <si>
    <t>Tono B2B: tecnico, consultivo, foco en escala y eficiencia. Mostrar la escalera completa de tiers.</t>
  </si>
  <si>
    <t>Si ambiguo: Es para uso personal o lo estas pensando para tu marca / proyecto?</t>
  </si>
  <si>
    <t>## 10. COMO RECOMENDAR EL TIER</t>
  </si>
  <si>
    <t>Ejemplos B2C:</t>
  </si>
  <si>
    <t>- Quiero un hoodie negro -&gt; Boston, Modelo Partner, $38.700</t>
  </si>
  <si>
    <t>- 3 remeras para regalar -&gt; Modelo Partner, precio segun producto</t>
  </si>
  <si>
    <t>Ejemplos B2B:</t>
  </si>
  <si>
    <t>- 15 remeras Aldea -&gt; Pro, $23.700/u, total $355.500</t>
  </si>
  <si>
    <t>- 50 musculosas -&gt; Drop, $15.700/u, total $785.000</t>
  </si>
  <si>
    <t>- 200 buzos cuello -&gt; Bulk, $28.200/u, total $5.640.000</t>
  </si>
  <si>
    <t>Upsell proactivo si esta cerca del proximo escalon:</t>
  </si>
  <si>
    <t>- 4 -&gt; 5u (Partner -&gt; Starter)</t>
  </si>
  <si>
    <t>- 9 -&gt; 10u (Starter -&gt; Pro)</t>
  </si>
  <si>
    <t>- 29 -&gt; 30u (Pro -&gt; Drop)</t>
  </si>
  <si>
    <t>- 99 -&gt; 100u (Drop -&gt; Bulk)</t>
  </si>
  <si>
    <t>## 11. CONSULTAS FRECUENTES</t>
  </si>
  <si>
    <t>- Pedidos chicos / 1 unidad? -&gt; Si, Modelo Partner.</t>
  </si>
  <si>
    <t>- Precio incluye estampa? -&gt; Si, estampa estandar incluida. Bordado/sublimacion full = consultar.</t>
  </si>
  <si>
    <t>- Otros colores fuera de catalogo? -&gt; Solo trabajamos con los listados. Para colores especiales consultar en Bulk (100+).</t>
  </si>
  <si>
    <t>- Por que negro = blanco? -&gt; Manejamos precio unificado por modelo. Es parte de nuestra transparencia comercial.</t>
  </si>
  <si>
    <t>- Descuento adicional? -&gt; Volumen ya esta en los tiers. Pedidos 300+ se evaluan caso por caso, derivar.</t>
  </si>
  <si>
    <t>- Plazos? -&gt; Si no tenes el dato, derivar a asesor.</t>
  </si>
  <si>
    <t>- Envios? -&gt; Cliente paga el envio, salvo pedidos &gt; $100.000 (envio gratis). Costos y plazos exactos: derivar a asesor.</t>
  </si>
  <si>
    <t>- Disenos propios? -&gt; Si. Vector preferentemente (AI, PDF, SVG) o PNG alta resolucion.</t>
  </si>
  <si>
    <t>- Minimo de compra? -&gt; No hay minimo: arrancamos desde 1 unidad.</t>
  </si>
  <si>
    <t>- Costo de produccion / margen? -&gt; Esa es informacion interna que no manejo. La tarifa publica es igual para todos los colores.</t>
  </si>
  <si>
    <t>## 12. REGLAS DE COMUNICACION</t>
  </si>
  <si>
    <t>1. Nunca lenguaje tecnico interno (margen, costo, escandallo). Hablar en lenguaje cliente: precio, tarifa, valor.</t>
  </si>
  <si>
    <t>2. No improvisar precios. Si no esta en el prompt, derivar a asesor.</t>
  </si>
  <si>
    <t>3. No prometer plazos, condiciones de pago ni envios sin dato confirmado.</t>
  </si>
  <si>
    <t>4. Proactivo con upsell de tier cuando el cliente esta cerca del escalon siguiente.</t>
  </si>
  <si>
    <t>5. Confirmar siempre cantidad y producto antes de dar precio final.</t>
  </si>
  <si>
    <t>6. Lista completa: tabla de 5 tiers de los 7 productos, sin diferencias por color.</t>
  </si>
  <si>
    <t>7. Cierre comercial obligatorio con pregunta accionable.</t>
  </si>
  <si>
    <t>8. Errores y dudas: pedir aclaracion, no inventar.</t>
  </si>
  <si>
    <t>9. Talles inexistentes en color: explicar disponibilidad real, ofrecer alternativas.</t>
  </si>
  <si>
    <t>10. Mapeo de nombres genericos: confirmar nombre comercial.</t>
  </si>
  <si>
    <t>11. B2C: lenguaje natural (precio por unidad, una sola prenda), no usar Modelo Partner como tier.</t>
  </si>
  <si>
    <t>12. B2B: mostrar escalera completa, mostrar potencial de ahorro.</t>
  </si>
  <si>
    <t>13. Datos sensibles, contacto humano, direccion: derivar a asesor.</t>
  </si>
  <si>
    <t>14. Envio: aclarar siempre que el cliente lo paga, salvo pedido &gt; $100.000 (envio gratis). Para costos/plazos exactos: derivar.</t>
  </si>
  <si>
    <t>## 13. EJEMPLOS DE INTERACCIONES</t>
  </si>
  <si>
    <t>Ejemplo 1 - B2C consulta simple</t>
  </si>
  <si>
    <t>Cliente: Hola, cuanto sale un hoodie negro?</t>
  </si>
  <si>
    <t>Bot: Hola! El Boston Hoodie Unisex en Negro sale $38.700 la unidad. Si llevas mas, el precio baja por escalera (5-9u a $36.600 c/u, 10-20u a $34.500 c/u). Es para vos o lo pensas para tu marca/proyecto?</t>
  </si>
  <si>
    <t>Ejemplo 2 - Pregunta sobre color</t>
  </si>
  <si>
    <t>Cliente: El blanco sale mas barato que el negro?</t>
  </si>
  <si>
    <t>Bot: No, el precio es el mismo para todos los colores. El Boston sale $38.700/u en Blanco, Negro, Stone Wash, Caramel, Crema o Gris Melange. Cuantas unidades cotizo?</t>
  </si>
  <si>
    <t>Ejemplo 3 - B2B pedido grande</t>
  </si>
  <si>
    <t>Cliente: Necesito 100 remeras Aldea negras para mi marca</t>
  </si>
  <si>
    <t>Bot: 100 Aldea Classic Fit en Negro entran en Bulk: $21.700/u, total $2.170.000. Como el pedido supera los $100.000, el envio te lo bonificamos. Avanzamos o queres muestra previa? Si confirmas dentro de 30 dias, el costo de muestra ($19.700) se descuenta del total.</t>
  </si>
  <si>
    <t>Ejemplo 4 - Pregunta por costo interno (deflectar)</t>
  </si>
  <si>
    <t>Cliente: Cuanto les cuesta producir una remera?</t>
  </si>
  <si>
    <t>Bot: Esa es informacion interna que no manejo. Lo que si confirmo es la tarifa publica: la Aldea va de $21.700 a $25.700 segun cantidad, mismo precio para todos los colores. Te armo una cotizacion?</t>
  </si>
  <si>
    <t>Ejemplo 5 - Upsell de tier</t>
  </si>
  <si>
    <t>Cliente: Necesito 9 hoodies</t>
  </si>
  <si>
    <t>Bot: 9 Boston entran en Starter: $36.600/u, total $329.400. Si sumas 1 mas y llegas a 10, pasas a Pro a $34.500/u (total $345.000 por 10 prendas). $15.600 mas y te llevas 1 unidad extra. Te conviene?</t>
  </si>
  <si>
    <t>Ejemplo 6 - Talle no disponible en color</t>
  </si>
  <si>
    <t>Cliente: Tienen Aura en 2XL color caramel?</t>
  </si>
  <si>
    <t>Bot: En Caramel, Aura tiene S, M, L, XL. El 2XL solo esta en Blanco y Negro. Cambias de color o ajustas el talle a XL en Caramel?</t>
  </si>
  <si>
    <t>Ejemplo 7 - Detectar canal</t>
  </si>
  <si>
    <t>Cliente: Hola, queria saber precios</t>
  </si>
  <si>
    <t>Bot: Hola! Estas buscando para uso personal (1 prenda o pocas) o lo pensas para una marca/proyecto/empresa? Asi te paso la info mas util.</t>
  </si>
  <si>
    <t>Ejemplo 8 - B2B explorando catalogo</t>
  </si>
  <si>
    <t>Cliente: Estoy armando una marca, que productos tienen?</t>
  </si>
  <si>
    <t>Bot: Genial. Trabajamos 7 productos: Berlin (buzo cuello) desde $28.200/u, Boston (hoodie) desde $30.300/u, Aura (oversize) desde $22.500/u, Aldea Classic Fit desde $21.700/u, Buenos Aires (clasica mujer) desde $21.700/u, Bahamas (crop mujer) desde $17.200/u, Bali (musculosa) desde $15.100/u. Estampa incluida. 5 escalones por volumen. Tenes idea de cantidades y prendas? Te armo cotizacion concreta.</t>
  </si>
  <si>
    <t>Ejemplo 9 - Pregunta por envios</t>
  </si>
  <si>
    <t>Cliente: Hacen envios a Cordoba?</t>
  </si>
  <si>
    <t>Bot: Si, hacemos envios a todo el pais. El costo del envio corre por cuenta del cliente, salvo que el pedido total supere los $100.000 (en ese caso el envio es gratis). Para confirmarte costo y plazo exacto te paso con un asesor de logistica. Me dejas nombre y mail/WhatsApp?</t>
  </si>
  <si>
    <t>Ejemplo 10 - Cliente con pedido grande, envio bonificado</t>
  </si>
  <si>
    <t>Cliente: Cuanto me sale 50 remeras Aura?</t>
  </si>
  <si>
    <t>Bot: 50 Aura entran en Drop: $23.200/u, total $1.160.000. Como supera los $100.000, el envio te lo bonificamos. Que colores y talles necesitas? Y avisame si te interesa una muestra previa.</t>
  </si>
  <si>
    <t>## 14. CIERRE Y OBJETIVO</t>
  </si>
  <si>
    <t>Tu objetivo es convertir consultas en pedidos (o derivaciones calificadas a un asesor humano), manteniendo siempre:</t>
  </si>
  <si>
    <t>- Confidencialidad absoluta de la estructura interna de costos.</t>
  </si>
  <si>
    <t>- Coherencia comercial: una tarifa, sin distinciones por color, escalera clara por volumen.</t>
  </si>
  <si>
    <t>- Adaptacion al canal (B2C calido y simple / B2B consultivo y tecnico).</t>
  </si>
  <si>
    <t>- Cierre accionable en cada conversacion.</t>
  </si>
  <si>
    <t>- Politica de envio comunicada con claridad: cliente paga, gratis sobre $100.000.</t>
  </si>
  <si>
    <t>Si una consulta excede este prompt o requiere negociacion humana, derivar:</t>
  </si>
  <si>
    <t>Te paso con un asesor que va a poder ayudarte mejor con eso. Me dejas tu nombre y un mail/WhatsApp?</t>
  </si>
  <si>
    <t>Precios Partners GROWTH — cercanos a costo (+$1.000 base, escalón −$200/tier)</t>
  </si>
  <si>
    <t>PROMPT PARA EL DEV — Actualizacion de costos Dreamful + nuevo nivel Partners Growth
Asunto: Actualizacion de costos de proveedor (Dreamful) y ajustes de precios — efectivo ya
Hola, actualizamos los costos del proveedor Dreamful y necesito que los reflejes en la herramienta de costos. Cambian los costos de TODOS los SKU, los precios de venta de algunos tiers, y sumamos un nuevo nivel de cliente (Partners Growth). Te dejo TODO el detalle abajo, incluidos los tres niveles de costo segun cantidad de estampas.
================================================================
1) NUEVOS COSTOS POR SKU — TRES NIVELES SEGUN ESTAMPA
================================================================
La herramienta maneja 3 costos por prenda segun el estampado:
  - Cost_1_Print : 1 estampa (1 ubicacion).
  - Chica        : doble estampa, pero una de las dos estampas es chica (NO se refiere al talle de la prenda).
  - Cost_2_Print : 2 estampas (estampa completa). ESTE es el costo base que usa el modelo para margenes y para Growth.
Formato: SKU - Producto - Color | Cost_1_Print / Chica / Cost_2_Print
BB   - Buzo Cuello Redondo - Blanco       | 20.600 / 23.600 / 24.100
BN   - Buzo Cuello Redondo - Negro        | 23.170 / 26.170 / 28.170
BSW  - Buzo Cuello Redondo - Stone Wash   | 23.170 / 26.170 / 28.170
RCC  - Remera Crop Mujer - Amarillo       | 14.600 / 17.600 / 18.100
RCV  - Remera Crop Mujer - Chocolate      | 14.600 / 17.600 / 18.100
RCG  - Remera Crop Mujer - Gris Melange   | 14.600 / 17.600 / 18.100
RCN  - Remera Crop Mujer - Negra          | 14.600 / 17.600 / 18.100
HB   - Buzo Hoodie Unisex - Blanco        | 21.600 / 24.600 / 25.100
HN   - Buzo Hoodie Unisex - Negro         | 24.170 / 27.170 / 29.170
HSW  - Buzo Hoodie Unisex - Stone Wash    | 25.170 / 28.170 / 30.170
MMB  - Musculosa Bali - Blanca            | 14.600 / 17.600 / 18.100
MMG  - Musculosa Bali - Gris              | 14.600 / 17.600 / 18.100
RHB  - Aldea Classic Fit - Blanco         | 15.100 / 18.100 / 18.600
RHN  - Aldea Classic Fit - Negro          | 17.670 / 20.670 / 22.670
RMB  - Remera Clasica Mujer - Blanca      | 15.100 / 18.100 / 18.600
RMN  - Remera Clasica Mujer - Negra       | 17.670 / 20.670 / 22.670
ROB  - Aura Oversize - Blanco             | 15.500 / 18.500 / 19.000
RON  - Aura Oversize - Negro              | 18.070 / 21.070 / 23.070
ROSW - Aura Oversize - Stone Wash         | 18.470 / 21.470 / 23.470
Referencia rapida del costo base (Cost_2_Print) anterior -&gt; nuevo:
  Crewneck Blanco 22.100-&gt;24.100 | Crewneck Negro/SW 26.170-&gt;28.170
  Crop (todos) 15.156-&gt;18.100    | Hoodie Blanco 23.100-&gt;25.100
  Hoodie Negro 27.170-&gt;29.170    | Hoodie SW 28.170-&gt;30.170
  Musculosa 13.096-&gt;18.100       | Classic/Mujer Blanco 15.656-&gt;18.600
  Classic/Mujer Negro 19.696-&gt;22.670 | Oversize Blanco 16.500-&gt;19.000
  Oversize Negro 20.096-&gt;23.070  | Oversize SW 20.496-&gt;23.470
Nota — colores extra sin costo propio en Dreamful (Hoodie Caramel/Crema/Gris y Oversize Caramel): se igualan al costo del color NEGRO de su categoria. Hoodie extras = 29.170 (Cost_2_Print), Oversize Caramel = 23.070.
================================================================
2) PRECIOS DE VENTA QUE CAMBIAN (partners gratuitos / Starter)
================================================================
Regla aplicada: solo subimos el precio de los tiers cuyo margen quedaba NEGATIVO con el costo nuevo, llevandolos a ~4% sobre costo. El resto de los precios NO cambia.
- Remera Crop Mujer (todos los colores): Drop 17.700 y Bulk 17.200 -&gt; 18.800 ambos.
- Aura Oversize Negro: Bulk 22.500 -&gt; 24.000.
- Aura Oversize Caramel: Bulk 22.500 -&gt; 24.000.
- Aura Oversize Stone Wash: Drop 23.200 -&gt; 24.400, Bulk 22.500 -&gt; 24.400.
- Aldea Classic Negro: Bulk 21.700 -&gt; 23.600.
- Remera Clasica Mujer Negra: Bulk 21.700 -&gt; 23.600.
- Musculosa Bali (todos): quedo bajo costo en TODOS los tiers (costo +38%). Reprecificada completa, escalonada 8%-&gt;4% sobre costo:
    Partner 19.500 / Starter 19.400 / Pro 19.200 / Drop 19.000 / Bulk 18.800.
Los precios B2C y los tiers no listados arriba se mantienen sin cambios.
================================================================
3) NUEVO NIVEL DE CLIENTE: PARTNERS GROWTH (suscriptores pagos)
================================================================
Que es: nivel de precios para partners con suscripcion 'Growth'. Los precios actuales del modelo son para partners gratuitos/Starter; a los Growth se les ofrece precio CERCANO A NUESTRO COSTO como beneficio de la suscripcion.
MECANISMO PARA IMPLEMENTAR/ACTUALIZAR EN LA PAGINA (deterministico, depende solo del costo base):
  Costo base = Cost_2_Print del SKU (mismo costo que usa el modelo).
  Partner (1u)    = Costo base + 1.000
  Starter (5-9u)  = Costo base +   800
  Pro (10-20u)    = Costo base +   600
  Drop (30-99u)   = Costo base +   400
  Bulk (100+u)    = Costo base +   200
En palabras: el precio Growth arranca en +1.000 sobre el costo y baja 200 por cada escalon de volumen. El margen unitario en $ es FIJO por tier (1000/800/600/400/200) e independiente del producto.
Implementacion sugerida: cuando el cliente es nivel Growth, calcular el precio on-the-fly como precio = costo_base + delta_tier, con delta_tier = { Partner:1000, Starter:800, Pro:600, Drop:400, Bulk:200 }. De esta forma los precios Growth se actualizan solos cada vez que cambian los costos, sin mantener una tabla aparte.
Margen % resultante = delta_tier / (costo_base + delta_tier). Para SKU de costo alto, el Bulk queda en &lt;1% de margen; es esperado (precio practicamente a costo).
Descuento por cantidad: es leve a proposito (solo 200 por tier), porque el precio ya esta a costo y no hay margen para descontar mas en los niveles altos.
================================================================
4) DONDE ENCONTRAR MAS INFO (pestanas de este Excel)
================================================================
- 'Precios Tab Dreamfull-sheets' : costos crudos del proveedor, los 3 niveles de estampa por SKU (Cost_1_Print / Chica / Cost_2_Print).
- 'Detalle_SKU_Con_Margenes'     : detalle por SKU y TALLE, con costo, precio por tier y margen $ y % de cada tier. El costo esta linkeado a la tab Dreamfull, recalcula solo.
- 'Precios_Para_Comunicar'       : resumen por SKU/color con precios de tier y margenes (partners gratuitos/Starter).
- 'Resumen_por_Producto'         : vista agregada por producto (costo min/max, precios tier, margenes min/max).
- 'Precios_Partners_Growth'      : tabla calculada del nuevo nivel Growth por SKU/color (precios y margenes).
Avisame si queres el archivo Excel con el detalle por SKU/talle, o un export CSV de cualquiera de estas pestanas.</t>
  </si>
  <si>
    <t>PLAN DE PRECIOS A FUTURO — Calculadora dinámica de subas (B2C + tiers partners)</t>
  </si>
  <si>
    <t>Editá los márgenes objetivo (celdas azules). Los precios sugeridos recalculan solos. Costos linkeados a Resumen_por_Producto (recalculan si cambia Dreamfull).</t>
  </si>
  <si>
    <t>INPUTS — Margen objetivo por tier (editable)</t>
  </si>
  <si>
    <t>Tier</t>
  </si>
  <si>
    <t>Margen objetivo %</t>
  </si>
  <si>
    <t>Criterio / racional</t>
  </si>
  <si>
    <t>mantener actual</t>
  </si>
  <si>
    <t>Retail ya sano (~47%); subir solo para conservar el margen % actual</t>
  </si>
  <si>
    <t>Compra chica, sostiene margen alto</t>
  </si>
  <si>
    <t>Atractivo, deja colchón p/ads</t>
  </si>
  <si>
    <t>Volumen medio</t>
  </si>
  <si>
    <t>Cubre ads + parte de envío bonificado</t>
  </si>
  <si>
    <t>Piso para no quedar en 0-7% como hoy</t>
  </si>
  <si>
    <t>RECOMENDACIONES POR PRODUCTO</t>
  </si>
  <si>
    <t>Costo base</t>
  </si>
  <si>
    <t>B2C actual</t>
  </si>
  <si>
    <t>B2C margen% actual</t>
  </si>
  <si>
    <t>B2C sugerido</t>
  </si>
  <si>
    <t>Suba B2C %</t>
  </si>
  <si>
    <t>Costo anterior (ref)</t>
  </si>
  <si>
    <t>B2C margen% previo</t>
  </si>
  <si>
    <t>PRECIOS SUGERIDOS POR TIER (para alcanzar el margen objetivo de los inputs)</t>
  </si>
  <si>
    <t>Partner sug.</t>
  </si>
  <si>
    <t>Starter sug.</t>
  </si>
  <si>
    <t>Pro sug.</t>
  </si>
  <si>
    <t>Drop sug.</t>
  </si>
  <si>
    <t>Bulk sug.</t>
  </si>
  <si>
    <t>CÓMO USAR ESTA TAB</t>
  </si>
  <si>
    <t>1) Cuando Dreamful cambie costos, actualizá la tab 'Precios Tab Dreamfull-sheets'. Costo base (col B) y márgenes recalculan solos acá.</t>
  </si>
  <si>
    <t>2) Ajustá los márgenes objetivo (celdas azules B7:B11) según qué tan agresivo querés ser en precio. Más bajo = más atractivo, menos margen para ads/envíos/IA.</t>
  </si>
  <si>
    <t>3) Columna E = B2C sugerido para conservar el margen % que tenías antes del aumento (usa 'Costo anterior' col H como referencia; actualizá H si cambia la base).</t>
  </si>
  <si>
    <t>4) Columnas L:P = precio sugerido por tier para alcanzar el margen objetivo. Son precios piso recomendados; podés redondear hacia arriba para retail.</t>
  </si>
  <si>
    <t>5) Recordatorio: el margen debe cubrir ads, envíos bonificados y suscripciones de IA. Por eso el piso de Bulk es 14% y no menos.</t>
  </si>
  <si>
    <t>MARGEN ACTUAL — PEOR CASO (cliente pide el color de mayor costo). Precio único al cliente vs costo del color más caro.</t>
  </si>
  <si>
    <t>Partner</t>
  </si>
  <si>
    <t>Starter</t>
  </si>
  <si>
    <t>Pro</t>
  </si>
  <si>
    <t>Drop</t>
  </si>
  <si>
    <t>Bulk</t>
  </si>
  <si>
    <t>MARGEN ACTUAL — MEJOR CASO (cliente pide el color de menor costo).</t>
  </si>
  <si>
    <t>EL PROBLEMA DE FONDO: costo por color, precio único</t>
  </si>
  <si>
    <t>Dreamful te cobra distinto por color, pero vos cobrás un precio único por producto. Si el cliente arma el pedido en el color MÁS CARO (Negro/Stone Wash), ese es el margen que te queda — ver tabla PEOR CASO (rojo = perdés plata en ese color).</t>
  </si>
  <si>
    <t>Por eso los precios sugeridos (cols L:P) se calculan sobre el COSTO MÁXIMO (peor color): así, vendas el color que vendas, nunca bajás del margen objetivo.</t>
  </si>
  <si>
    <t>Alternativas si no querés subir el precio único tanto: (a) cobrar un recargo por colores premium (Negro/Stone Wash), (b) limitar los colores caros en pedidos grandes (Drop/Bulk), o (c) negociar con Dreamful para emparejar el costo entre colores.</t>
  </si>
  <si>
    <t>Los casos más críticos hoy (peor caso negativo): Oversize y Remeras Clásicas/Mujer en Negro y Stone Wash, tiers Drop y Bulk.</t>
  </si>
  <si>
    <t>AJUSTE DE PRECIOS PARTNER PARA GARANTIZAR 8% DE AHORRO AL PASAR A GROWTH</t>
  </si>
  <si>
    <t>Growth = precio UNICO por producto = costo del color mas caro + delta de tier (Partner+1000). Regla: el Partner normal debe ser &gt;= Growth_Partner / 0.92 para que pasar a Growth ahorre min. 8%. Solo se ajustan productos que hoy ahorran &lt; 8%.</t>
  </si>
  <si>
    <t>Costo max</t>
  </si>
  <si>
    <t>Growth Partner (nuevo, unico)</t>
  </si>
  <si>
    <t>Partner normal ACTUAL</t>
  </si>
  <si>
    <t>Ahorro actual %</t>
  </si>
  <si>
    <t>Cumple 8%?</t>
  </si>
  <si>
    <t>Partner normal NUEVO</t>
  </si>
  <si>
    <t>Ahorro nuevo %</t>
  </si>
  <si>
    <t>Suba Partner %</t>
  </si>
  <si>
    <t>PRECIOS PARTNER FINALES — todos los tiers ajustados en proporción a la suba del Partner</t>
  </si>
  <si>
    <t>Cada tier se multiplica por (1 + suba% del Partner) y se redondea a centena. Growth = precio unico por producto (costo color mas caro + delta).</t>
  </si>
  <si>
    <t>Suba %</t>
  </si>
  <si>
    <t>Growth (unico)</t>
  </si>
  <si>
    <t>PRECIO UNICO POR PRODUCTO (no por color): se calcula sobre el COSTO DEL COLOR MAS CARO + delta. Partner=+1000, Starter=+800, Pro=+600, Drop=+400, Bulk=+200. Garantiza min. 8% de ahorro vs el precio Partner normal. Recalcula automaticamente.</t>
  </si>
  <si>
    <t>PROMPT PARA EL DEV — ACTUALIZACION DE PRECIOS DE VENTA PARTNERS + GROWTH (ronda 2)
Asunto: Nuevos precios de venta a partners y nuevo esquema Growth (precio unico por producto)
Hola, actualizamos los precios de venta a partners. Dos cambios:
  (A) Subimos algunos precios de partner para que pasarse a Growth implique siempre un ahorro minimo del 8%.
  (B) El precio GROWTH pasa a ser UNICO por producto (ya no varia por color).
================================================================
1) NUEVOS PRECIOS PARTNER (precio UNICO por producto, todos los tiers)
================================================================
Formato: Producto | Partner(1u) / Starter(5-9u) / Pro(10-20u) / Drop(30-99u) / Bulk(100+u)
Buzo Cuello Redondo      | 32.200 / 31.200 / 30.200 / 29.200 / 28.200   (SIN CAMBIO)
Buzo Hoodie Unisex       | 38.700 / 36.600 / 34.500 / 32.400 / 30.300   (SIN CAMBIO)
Aura Oversize T-Shirt    | 26.600 / 25.900 / 25.100 / 24.300 / 23.600   (subio)
Aldea Classic Fit T-Shirt| 25.800 / 25.100 / 24.400 / 23.800 / 23.600   (subio)
Remera Clasica Mujer     | 25.800 / 25.100 / 24.400 / 23.800 / 23.600   (subio)
Remera Crop Mujer        | 20.800 / 20.300 / 19.800 / 19.300 / 18.900   (subio)
Musculosa Bali           | 20.800 / 20.700 / 20.500 / 20.300 / 20.100   (subio)
Nota: estos precios son UNICOS por producto, aplican a todos los colores por igual.
================================================================
2) NUEVO PRECIO GROWTH (suscriptores pagos) — UNICO POR PRODUCTO
================================================================
Cambio importante: el Growth deja de variar por color. Ahora es un precio unico por producto, calculado sobre el COSTO DEL COLOR MAS CARO + delta de tier.
Regla de calculo:
  Costo base Growth = costo del color MAS CARO del producto (Cost_2_Print del color mas caro).
  Partner (1u)    = Costo base + 1.000
  Starter (5-9u)  = Costo base +   800
  Pro (10-20u)    = Costo base +   600
  Drop (30-99u)   = Costo base +   400
  Bulk (100+u)    = Costo base +   200
Precios Growth resultantes por producto | Partner / Starter / Pro / Drop / Bulk:
Buzo Cuello Redondo      | 29.170 / 28.970 / 28.770 / 28.570 / 28.370
Buzo Hoodie Unisex       | 31.170 / 30.970 / 30.770 / 30.570 / 30.370
Aura Oversize T-Shirt    | 24.470 / 24.270 / 24.070 / 23.870 / 23.670
Aldea Classic Fit T-Shirt| 23.670 / 23.470 / 23.270 / 23.070 / 22.870
Remera Clasica Mujer     | 23.670 / 23.470 / 23.270 / 23.070 / 22.870
Remera Crop Mujer        | 19.100 / 18.900 / 18.700 / 18.500 / 18.300
Musculosa Bali           | 19.100 / 18.900 / 18.700 / 18.500 / 18.300
================================================================
3) REGLA DEL 8% DE AHORRO (para mantener a futuro)
================================================================
El objetivo es que un partner que se suscribe a Growth ahorre como minimo 8% en el tier de entrada (Partner 1u) respecto del precio Partner normal.
Regla: Precio Partner normal &gt;= Precio Growth Partner / 0,92  (redondeado hacia arriba a la centena).
Cuando cambien los costos, recalcular el Growth (costo color mas caro + delta) y verificar que el Partner normal siga cumpliendo esta condicion; si no, subir el Partner normal al minimo que la cumpla.
================================================================
4) DONDE ENCONTRAR MAS INFO (pestanas del Excel)
================================================================
- 'Plan_Precios_Futuro' : tablas de comparacion antes/despues, regla del 8% y precios finales por tier (esta es la fuente de estos numeros).
- 'Precios_Para_Comunicar' : precios partner actualizados por SKU/color con margenes.
- 'Precios_Partners_Growth' : precios Growth unicos por producto con margenes.
- 'Resumen_por_Producto' : vista agregada por producto.
El detalle del cambio de COSTOS (Dreamful) esta en el prompt anterior, en la celda A1 de esta misma pestana.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</si>
</sst>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quot;$&quot;#,##0;\(&quot;$&quot;#,##0\);\-"/>
    <numFmt numFmtId="167" formatCode="&quot;$&quot;#,##0;[Red]\(&quot;$&quot;#,##0\)"/>
  </numFmts>
  <fonts count="26"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theme="1"/>
      <name val="Arial"/>
      <family val="2"/>
    </font>
    <font>
      <sz val="11"/>
      <color theme="1"/>
      <name val="Arial"/>
      <family val="2"/>
    </font>
    <font>
      <b/>
      <sz val="14"/>
      <color rgb="FFFFFFFF"/>
      <name val="Calibri"/>
      <family val="2"/>
    </font>
    <font>
      <i/>
      <sz val="11"/>
      <color rgb="FF595959"/>
      <name val="Calibri"/>
      <family val="2"/>
    </font>
    <font>
      <b/>
      <sz val="12"/>
      <color theme="1"/>
      <name val="Calibri"/>
      <family val="2"/>
    </font>
    <font>
      <b/>
      <sz val="12"/>
      <color rgb="FFFFFFFF"/>
      <name val="Calibri"/>
      <family val="2"/>
    </font>
    <font>
      <b/>
      <sz val="11"/>
      <color rgb="FFC00000"/>
      <name val="Calibri"/>
      <family val="2"/>
    </font>
    <font>
      <b/>
      <sz val="11"/>
      <color rgb="FF2F5496"/>
      <name val="Calibri"/>
      <family val="2"/>
    </font>
    <font>
      <sz val="11"/>
      <color rgb="FFC00000"/>
      <name val="Calibri"/>
      <family val="2"/>
    </font>
    <font>
      <sz val="11"/>
      <color theme="1"/>
      <name val="Consolas"/>
      <family val="2"/>
    </font>
    <font>
      <b/>
      <sz val="14"/>
      <color rgb="FFFFFFFF"/>
      <name val="Calibri"/>
      <family val="2"/>
      <scheme val="minor"/>
    </font>
    <font>
      <i/>
      <sz val="11"/>
      <color rgb="FF595959"/>
      <name val="Calibri"/>
      <family val="2"/>
      <scheme val="minor"/>
    </font>
    <font>
      <b/>
      <sz val="11"/>
      <color rgb="FFFFFFFF"/>
      <name val="Calibri"/>
      <family val="2"/>
      <scheme val="minor"/>
    </font>
    <font>
      <sz val="11"/>
      <color theme="1"/>
      <name val="Consolas"/>
      <family val="2"/>
    </font>
    <font>
      <b/>
      <sz val="11"/>
      <color theme="1"/>
      <name val="Calibri"/>
      <family val="2"/>
      <scheme val="minor"/>
    </font>
    <font>
      <sz val="11"/>
      <color rgb="FF0000FF"/>
      <name val="Calibri"/>
      <family val="2"/>
      <scheme val="minor"/>
    </font>
    <font>
      <i/>
      <sz val="11"/>
      <color theme="1"/>
      <name val="Calibri"/>
      <family val="2"/>
      <scheme val="minor"/>
    </font>
    <font>
      <sz val="11"/>
      <color rgb="FF9C0006"/>
      <name val="Calibri"/>
      <family val="2"/>
      <scheme val="minor"/>
    </font>
    <font>
      <sz val="11"/>
      <color rgb="FF006100"/>
      <name val="Calibri"/>
      <family val="2"/>
      <scheme val="minor"/>
    </font>
    <font>
      <b/>
      <sz val="12"/>
      <color rgb="FFFFFFFF"/>
      <name val="Calibri"/>
      <family val="2"/>
      <scheme val="minor"/>
    </font>
    <font>
      <b/>
      <sz val="11"/>
      <color rgb="FF006100"/>
      <name val="Calibri"/>
      <family val="2"/>
      <scheme val="minor"/>
    </font>
  </fonts>
  <fills count="22">
    <fill>
      <patternFill patternType="none"/>
    </fill>
    <fill>
      <patternFill patternType="gray125"/>
    </fill>
    <fill>
      <patternFill patternType="solid">
        <fgColor rgb="FF1F4E78"/>
        <bgColor rgb="FF1F4E78"/>
      </patternFill>
    </fill>
    <fill>
      <patternFill patternType="solid">
        <fgColor rgb="FF1F3864"/>
        <bgColor rgb="FF1F3864"/>
      </patternFill>
    </fill>
    <fill>
      <patternFill patternType="solid">
        <fgColor rgb="FFD9E1F2"/>
        <bgColor rgb="FFD9E1F2"/>
      </patternFill>
    </fill>
    <fill>
      <patternFill patternType="solid">
        <fgColor rgb="FF2F5496"/>
        <bgColor rgb="FF2F5496"/>
      </patternFill>
    </fill>
    <fill>
      <patternFill patternType="solid">
        <fgColor rgb="FFC00000"/>
        <bgColor rgb="FFC00000"/>
      </patternFill>
    </fill>
    <fill>
      <patternFill patternType="solid">
        <fgColor rgb="FF548235"/>
        <bgColor rgb="FF548235"/>
      </patternFill>
    </fill>
    <fill>
      <patternFill patternType="solid">
        <fgColor rgb="FFBF8F00"/>
        <bgColor rgb="FFBF8F00"/>
      </patternFill>
    </fill>
    <fill>
      <patternFill patternType="solid">
        <fgColor rgb="FFF2F2F2"/>
        <bgColor rgb="FFF2F2F2"/>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C6EFCE"/>
        <bgColor rgb="FFC6EFCE"/>
      </patternFill>
    </fill>
    <fill>
      <patternFill patternType="solid">
        <fgColor rgb="FF1F3864"/>
        <bgColor indexed="64"/>
      </patternFill>
    </fill>
    <fill>
      <patternFill patternType="solid">
        <fgColor rgb="FF1F4E78"/>
        <bgColor indexed="64"/>
      </patternFill>
    </fill>
    <fill>
      <patternFill patternType="solid">
        <fgColor rgb="FFD9E1F2"/>
        <bgColor indexed="64"/>
      </patternFill>
    </fill>
    <fill>
      <patternFill patternType="solid">
        <fgColor rgb="FFE2EFDA"/>
        <bgColor indexed="64"/>
      </patternFill>
    </fill>
    <fill>
      <patternFill patternType="solid">
        <fgColor rgb="FFFFF2CC"/>
        <bgColor indexed="64"/>
      </patternFill>
    </fill>
    <fill>
      <patternFill patternType="solid">
        <fgColor rgb="FFF8CBAD"/>
        <bgColor indexed="64"/>
      </patternFill>
    </fill>
    <fill>
      <patternFill patternType="solid">
        <fgColor rgb="FFC00000"/>
        <bgColor indexed="64"/>
      </patternFill>
    </fill>
    <fill>
      <patternFill patternType="solid">
        <fgColor rgb="FFC6EFCE"/>
        <bgColor indexed="64"/>
      </patternFill>
    </fill>
  </fills>
  <borders count="3">
    <border>
      <left/>
      <right/>
      <top/>
      <bottom/>
      <diagonal/>
    </border>
    <border>
      <left/>
      <right/>
      <top/>
      <bottom/>
      <diagonal/>
    </border>
    <border>
      <left/>
      <right/>
      <top/>
      <bottom style="thin">
        <color auto="1"/>
      </bottom>
      <diagonal/>
    </border>
  </borders>
  <cellStyleXfs count="1">
    <xf numFmtId="0" fontId="0" fillId="0" borderId="0"/>
  </cellStyleXfs>
  <cellXfs count="61">
    <xf numFmtId="0" fontId="0" fillId="0" borderId="0" xfId="0"/>
    <xf numFmtId="0" fontId="1" fillId="2" borderId="1" xfId="0" applyFont="1" applyFill="1" applyBorder="1"/>
    <xf numFmtId="0" fontId="2" fillId="0" borderId="0" xfId="0" applyFont="1"/>
    <xf numFmtId="164" fontId="3" fillId="0" borderId="0" xfId="0" applyNumberFormat="1" applyFont="1"/>
    <xf numFmtId="165" fontId="3" fillId="0" borderId="0" xfId="0" applyNumberFormat="1" applyFont="1"/>
    <xf numFmtId="166" fontId="3" fillId="0" borderId="0" xfId="0" applyNumberFormat="1" applyFont="1"/>
    <xf numFmtId="0" fontId="4" fillId="0" borderId="0" xfId="0" applyFont="1"/>
    <xf numFmtId="0" fontId="5" fillId="0" borderId="0" xfId="0" applyFont="1" applyAlignment="1">
      <alignment horizontal="center"/>
    </xf>
    <xf numFmtId="0" fontId="3" fillId="0" borderId="0" xfId="0" applyFont="1"/>
    <xf numFmtId="0" fontId="3" fillId="0" borderId="0" xfId="0" applyFont="1" applyAlignment="1">
      <alignment horizontal="right"/>
    </xf>
    <xf numFmtId="0" fontId="6" fillId="0" borderId="0" xfId="0" applyFont="1"/>
    <xf numFmtId="0" fontId="6" fillId="0" borderId="0" xfId="0" applyFont="1" applyAlignment="1">
      <alignment horizontal="right"/>
    </xf>
    <xf numFmtId="0" fontId="7" fillId="3" borderId="1" xfId="0" applyFont="1" applyFill="1" applyBorder="1"/>
    <xf numFmtId="0" fontId="8" fillId="0" borderId="0" xfId="0" applyFont="1"/>
    <xf numFmtId="0" fontId="9" fillId="4" borderId="1" xfId="0" applyFont="1" applyFill="1" applyBorder="1"/>
    <xf numFmtId="0" fontId="1" fillId="3" borderId="1" xfId="0" applyFont="1" applyFill="1" applyBorder="1"/>
    <xf numFmtId="0" fontId="1" fillId="5" borderId="1" xfId="0" applyFont="1" applyFill="1" applyBorder="1"/>
    <xf numFmtId="0" fontId="1" fillId="6" borderId="1" xfId="0" applyFont="1" applyFill="1" applyBorder="1"/>
    <xf numFmtId="167" fontId="3" fillId="0" borderId="0" xfId="0" applyNumberFormat="1" applyFont="1"/>
    <xf numFmtId="0" fontId="1" fillId="6" borderId="1" xfId="0" applyFont="1" applyFill="1" applyBorder="1" applyAlignment="1">
      <alignment horizontal="center"/>
    </xf>
    <xf numFmtId="0" fontId="1" fillId="7" borderId="1" xfId="0" applyFont="1" applyFill="1" applyBorder="1" applyAlignment="1">
      <alignment horizontal="center"/>
    </xf>
    <xf numFmtId="0" fontId="1" fillId="8" borderId="1" xfId="0" applyFont="1" applyFill="1" applyBorder="1" applyAlignment="1">
      <alignment horizontal="center"/>
    </xf>
    <xf numFmtId="0" fontId="1" fillId="5" borderId="1" xfId="0" applyFont="1" applyFill="1" applyBorder="1" applyAlignment="1">
      <alignment horizontal="center"/>
    </xf>
    <xf numFmtId="0" fontId="4" fillId="9" borderId="1" xfId="0" applyFont="1" applyFill="1" applyBorder="1"/>
    <xf numFmtId="167" fontId="4" fillId="4" borderId="1" xfId="0" applyNumberFormat="1" applyFont="1" applyFill="1" applyBorder="1"/>
    <xf numFmtId="0" fontId="4" fillId="10" borderId="1" xfId="0" applyFont="1" applyFill="1" applyBorder="1"/>
    <xf numFmtId="9" fontId="3" fillId="0" borderId="0" xfId="0" applyNumberFormat="1" applyFont="1"/>
    <xf numFmtId="0" fontId="3" fillId="0" borderId="0" xfId="0" applyFont="1" applyAlignment="1">
      <alignment wrapText="1"/>
    </xf>
    <xf numFmtId="0" fontId="4" fillId="11" borderId="1" xfId="0" applyFont="1" applyFill="1" applyBorder="1"/>
    <xf numFmtId="0" fontId="4" fillId="12" borderId="1" xfId="0" applyFont="1" applyFill="1" applyBorder="1"/>
    <xf numFmtId="0" fontId="4" fillId="13" borderId="1" xfId="0" applyFont="1" applyFill="1" applyBorder="1"/>
    <xf numFmtId="0" fontId="10" fillId="3" borderId="1" xfId="0" applyFont="1" applyFill="1" applyBorder="1"/>
    <xf numFmtId="0" fontId="4" fillId="0" borderId="0" xfId="0" applyFont="1" applyAlignment="1">
      <alignment vertical="top"/>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49" fontId="14" fillId="0" borderId="0" xfId="0" applyNumberFormat="1" applyFont="1" applyAlignment="1">
      <alignment vertical="top" wrapText="1"/>
    </xf>
    <xf numFmtId="49" fontId="14" fillId="0" borderId="0" xfId="0" quotePrefix="1" applyNumberFormat="1" applyFont="1" applyAlignment="1">
      <alignment vertical="top" wrapText="1"/>
    </xf>
    <xf numFmtId="164" fontId="0" fillId="0" borderId="0" xfId="0" applyNumberFormat="1"/>
    <xf numFmtId="165" fontId="0" fillId="0" borderId="0" xfId="0" applyNumberFormat="1"/>
    <xf numFmtId="0" fontId="17" fillId="15" borderId="2" xfId="0" applyFont="1" applyFill="1" applyBorder="1"/>
    <xf numFmtId="49" fontId="18" fillId="0" borderId="0" xfId="0" applyNumberFormat="1" applyFont="1" applyAlignment="1">
      <alignment vertical="top" wrapText="1"/>
    </xf>
    <xf numFmtId="0" fontId="19" fillId="16" borderId="0" xfId="0" applyFont="1" applyFill="1"/>
    <xf numFmtId="165" fontId="20" fillId="0" borderId="0" xfId="0" applyNumberFormat="1" applyFont="1"/>
    <xf numFmtId="0" fontId="21" fillId="0" borderId="0" xfId="0" applyFont="1"/>
    <xf numFmtId="0" fontId="17" fillId="15" borderId="0" xfId="0" applyFont="1" applyFill="1"/>
    <xf numFmtId="164" fontId="20" fillId="0" borderId="0" xfId="0" applyNumberFormat="1" applyFont="1"/>
    <xf numFmtId="164" fontId="0" fillId="17" borderId="0" xfId="0" applyNumberFormat="1" applyFill="1"/>
    <xf numFmtId="0" fontId="19" fillId="18" borderId="0" xfId="0" applyFont="1" applyFill="1"/>
    <xf numFmtId="165" fontId="22" fillId="19" borderId="0" xfId="0" applyNumberFormat="1" applyFont="1" applyFill="1"/>
    <xf numFmtId="165" fontId="17" fillId="20" borderId="0" xfId="0" applyNumberFormat="1" applyFont="1" applyFill="1"/>
    <xf numFmtId="165" fontId="23" fillId="21" borderId="0" xfId="0" applyNumberFormat="1" applyFont="1" applyFill="1"/>
    <xf numFmtId="0" fontId="15" fillId="14" borderId="0" xfId="0" applyFont="1" applyFill="1"/>
    <xf numFmtId="0" fontId="16" fillId="0" borderId="0" xfId="0" applyFont="1"/>
    <xf numFmtId="0" fontId="19" fillId="16" borderId="0" xfId="0" applyFont="1" applyFill="1"/>
    <xf numFmtId="0" fontId="24" fillId="14" borderId="0" xfId="0" applyFont="1" applyFill="1"/>
    <xf numFmtId="0" fontId="17" fillId="15" borderId="0" xfId="0" applyFont="1" applyFill="1" applyAlignment="1">
      <alignment wrapText="1"/>
    </xf>
    <xf numFmtId="0" fontId="23" fillId="21" borderId="0" xfId="0" applyFont="1" applyFill="1"/>
    <xf numFmtId="0" fontId="22" fillId="19" borderId="0" xfId="0" applyFont="1" applyFill="1"/>
    <xf numFmtId="165" fontId="25" fillId="0" borderId="0" xfId="0" applyNumberFormat="1" applyFont="1"/>
    <xf numFmtId="164" fontId="0" fillId="18" borderId="0" xfId="0" applyNumberFormat="1" applyFill="1"/>
  </cellXfs>
  <cellStyles count="1">
    <cellStyle name="Normal" xfId="0" builtinId="0"/>
  </cellStyles>
  <dxfs count="19">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8CBAD"/>
          <bgColor rgb="FFF8CBAD"/>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8CBAD"/>
          <bgColor rgb="FFF8CBAD"/>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8CBAD"/>
          <bgColor rgb="FFF8CBAD"/>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8CBAD"/>
          <bgColor rgb="FFF8CBAD"/>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8CBAD"/>
          <bgColor rgb="FFF8CBAD"/>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8CBAD"/>
          <bgColor rgb="FFF8CBAD"/>
        </patternFill>
      </fill>
    </dxf>
    <dxf>
      <font>
        <b/>
        <color rgb="FF9C0006"/>
      </font>
      <fill>
        <patternFill patternType="solid">
          <fgColor rgb="FFF8CBAD"/>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F8B738-CC2D-214A-8F49-E051F05D713E}">
  <we:reference id="wa200009404" version="1.0.0.8" store="en-US" storeType="OMEX"/>
  <we:alternateReferences>
    <we:reference id="wa200009404" version="1.0.0.8" store="en-US" storeType="OMEX"/>
  </we:alternateReferences>
  <we:properties>
    <we:property name="claude.fileId" value="&quot;97f52caf-7d48-4957-899b-3c9df90b2dc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opLeftCell="F1" workbookViewId="0">
      <selection activeCell="Q33" sqref="Q33"/>
    </sheetView>
  </sheetViews>
  <sheetFormatPr baseColWidth="10" defaultColWidth="14.5" defaultRowHeight="15" customHeight="1" x14ac:dyDescent="0.2"/>
  <cols>
    <col min="1" max="1" width="16.33203125" customWidth="1"/>
    <col min="2" max="2" width="18.5" customWidth="1"/>
    <col min="3" max="3" width="10.83203125" customWidth="1"/>
    <col min="4" max="4" width="10.33203125" customWidth="1"/>
    <col min="5" max="7" width="7.6640625" customWidth="1"/>
    <col min="8" max="8" width="10.33203125" customWidth="1"/>
    <col min="9" max="9" width="11.33203125" customWidth="1"/>
    <col min="10" max="10" width="10.6640625" customWidth="1"/>
    <col min="11" max="11" width="11.83203125" customWidth="1"/>
    <col min="12" max="12" width="10.6640625" customWidth="1"/>
    <col min="13" max="13" width="15.1640625" customWidth="1"/>
    <col min="14" max="14" width="14.6640625" customWidth="1"/>
    <col min="15" max="15" width="12" customWidth="1"/>
    <col min="16" max="16" width="13.1640625" customWidth="1"/>
    <col min="17" max="17" width="12.6640625"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B2" s="2" t="s">
        <v>17</v>
      </c>
      <c r="C2" s="2" t="s">
        <v>18</v>
      </c>
      <c r="D2" s="2" t="s">
        <v>19</v>
      </c>
      <c r="E2" s="3">
        <f>Detalle_SKU_Con_Margenes!F2</f>
        <v>24100</v>
      </c>
      <c r="F2" s="3">
        <v>43000</v>
      </c>
      <c r="G2" s="3">
        <v>32200</v>
      </c>
      <c r="H2" s="3">
        <f>Detalle_SKU_Con_Margenes!I2</f>
        <v>32200</v>
      </c>
      <c r="I2" s="3">
        <f>Detalle_SKU_Con_Margenes!J2</f>
        <v>31200</v>
      </c>
      <c r="J2" s="3">
        <f>Detalle_SKU_Con_Margenes!K2</f>
        <v>30200</v>
      </c>
      <c r="K2" s="3">
        <f>Detalle_SKU_Con_Margenes!L2</f>
        <v>29200</v>
      </c>
      <c r="L2" s="3">
        <f>Detalle_SKU_Con_Margenes!M2</f>
        <v>28200</v>
      </c>
      <c r="M2" s="4">
        <f>(H2-$E2)/H2</f>
        <v>0.25155279503105588</v>
      </c>
      <c r="N2" s="4">
        <f>(I2-$E2)/I2</f>
        <v>0.22756410256410256</v>
      </c>
      <c r="O2" s="4">
        <f>(J2-$E2)/J2</f>
        <v>0.20198675496688742</v>
      </c>
      <c r="P2" s="4">
        <f>(K2-$E2)/K2</f>
        <v>0.17465753424657535</v>
      </c>
      <c r="Q2" s="4">
        <f>(L2-$E2)/L2</f>
        <v>0.1453900709219858</v>
      </c>
    </row>
    <row r="3" spans="1:17" x14ac:dyDescent="0.2">
      <c r="B3" s="2" t="s">
        <v>17</v>
      </c>
      <c r="C3" s="2" t="s">
        <v>20</v>
      </c>
      <c r="D3" s="2" t="s">
        <v>19</v>
      </c>
      <c r="E3" s="3">
        <f>Detalle_SKU_Con_Margenes!F8</f>
        <v>28170</v>
      </c>
      <c r="F3" s="3">
        <v>43000</v>
      </c>
      <c r="G3" s="3">
        <v>32200</v>
      </c>
      <c r="H3" s="3">
        <f>Detalle_SKU_Con_Margenes!I8</f>
        <v>32200</v>
      </c>
      <c r="I3" s="3">
        <f>Detalle_SKU_Con_Margenes!J8</f>
        <v>31200</v>
      </c>
      <c r="J3" s="3">
        <f>Detalle_SKU_Con_Margenes!K8</f>
        <v>30200</v>
      </c>
      <c r="K3" s="3">
        <f>Detalle_SKU_Con_Margenes!L8</f>
        <v>29200</v>
      </c>
      <c r="L3" s="3">
        <f>Detalle_SKU_Con_Margenes!M8</f>
        <v>28200</v>
      </c>
      <c r="M3" s="4">
        <f t="shared" ref="M3:M25" si="0">(H3-$E3)/H3</f>
        <v>0.12515527950310559</v>
      </c>
      <c r="N3" s="4">
        <f t="shared" ref="N3:N25" si="1">(I3-$E3)/I3</f>
        <v>9.7115384615384617E-2</v>
      </c>
      <c r="O3" s="4">
        <f t="shared" ref="O3:O25" si="2">(J3-$E3)/J3</f>
        <v>6.7218543046357618E-2</v>
      </c>
      <c r="P3" s="4">
        <f t="shared" ref="P3:P25" si="3">(K3-$E3)/K3</f>
        <v>3.5273972602739727E-2</v>
      </c>
      <c r="Q3" s="4">
        <f t="shared" ref="Q3:Q25" si="4">(L3-$E3)/L3</f>
        <v>1.0638297872340426E-3</v>
      </c>
    </row>
    <row r="4" spans="1:17" x14ac:dyDescent="0.2">
      <c r="B4" s="2" t="s">
        <v>17</v>
      </c>
      <c r="C4" s="2" t="s">
        <v>21</v>
      </c>
      <c r="D4" s="2" t="s">
        <v>19</v>
      </c>
      <c r="E4" s="3">
        <f>Detalle_SKU_Con_Margenes!F14</f>
        <v>28170</v>
      </c>
      <c r="F4" s="3">
        <v>43000</v>
      </c>
      <c r="G4" s="3">
        <v>32200</v>
      </c>
      <c r="H4" s="3">
        <f>Detalle_SKU_Con_Margenes!I14</f>
        <v>32200</v>
      </c>
      <c r="I4" s="3">
        <f>Detalle_SKU_Con_Margenes!J14</f>
        <v>31200</v>
      </c>
      <c r="J4" s="3">
        <f>Detalle_SKU_Con_Margenes!K14</f>
        <v>30200</v>
      </c>
      <c r="K4" s="3">
        <f>Detalle_SKU_Con_Margenes!L14</f>
        <v>29200</v>
      </c>
      <c r="L4" s="3">
        <f>Detalle_SKU_Con_Margenes!M14</f>
        <v>28200</v>
      </c>
      <c r="M4" s="4">
        <f t="shared" si="0"/>
        <v>0.12515527950310559</v>
      </c>
      <c r="N4" s="4">
        <f t="shared" si="1"/>
        <v>9.7115384615384617E-2</v>
      </c>
      <c r="O4" s="4">
        <f t="shared" si="2"/>
        <v>6.7218543046357618E-2</v>
      </c>
      <c r="P4" s="4">
        <f t="shared" si="3"/>
        <v>3.5273972602739727E-2</v>
      </c>
      <c r="Q4" s="4">
        <f t="shared" si="4"/>
        <v>1.0638297872340426E-3</v>
      </c>
    </row>
    <row r="5" spans="1:17" x14ac:dyDescent="0.2">
      <c r="B5" s="2" t="s">
        <v>22</v>
      </c>
      <c r="C5" s="2" t="s">
        <v>18</v>
      </c>
      <c r="D5" s="2" t="s">
        <v>23</v>
      </c>
      <c r="E5" s="3">
        <f>Detalle_SKU_Con_Margenes!F20</f>
        <v>25100</v>
      </c>
      <c r="F5" s="3">
        <v>55000</v>
      </c>
      <c r="G5" s="3">
        <v>38700</v>
      </c>
      <c r="H5" s="3">
        <f>Detalle_SKU_Con_Margenes!I20</f>
        <v>38700</v>
      </c>
      <c r="I5" s="3">
        <f>Detalle_SKU_Con_Margenes!J20</f>
        <v>36600</v>
      </c>
      <c r="J5" s="3">
        <f>Detalle_SKU_Con_Margenes!K20</f>
        <v>34500</v>
      </c>
      <c r="K5" s="3">
        <f>Detalle_SKU_Con_Margenes!L20</f>
        <v>32400</v>
      </c>
      <c r="L5" s="3">
        <f>Detalle_SKU_Con_Margenes!M20</f>
        <v>30300</v>
      </c>
      <c r="M5" s="4">
        <f t="shared" si="0"/>
        <v>0.35142118863049093</v>
      </c>
      <c r="N5" s="4">
        <f t="shared" si="1"/>
        <v>0.31420765027322406</v>
      </c>
      <c r="O5" s="4">
        <f t="shared" si="2"/>
        <v>0.27246376811594203</v>
      </c>
      <c r="P5" s="4">
        <f t="shared" si="3"/>
        <v>0.22530864197530864</v>
      </c>
      <c r="Q5" s="4">
        <f t="shared" si="4"/>
        <v>0.17161716171617161</v>
      </c>
    </row>
    <row r="6" spans="1:17" x14ac:dyDescent="0.2">
      <c r="B6" s="2" t="s">
        <v>22</v>
      </c>
      <c r="C6" s="2" t="s">
        <v>20</v>
      </c>
      <c r="D6" s="2" t="s">
        <v>23</v>
      </c>
      <c r="E6" s="3">
        <f>Detalle_SKU_Con_Margenes!F26</f>
        <v>29170</v>
      </c>
      <c r="F6" s="3">
        <v>55000</v>
      </c>
      <c r="G6" s="3">
        <v>38700</v>
      </c>
      <c r="H6" s="3">
        <f>Detalle_SKU_Con_Margenes!I26</f>
        <v>38700</v>
      </c>
      <c r="I6" s="3">
        <f>Detalle_SKU_Con_Margenes!J26</f>
        <v>36600</v>
      </c>
      <c r="J6" s="3">
        <f>Detalle_SKU_Con_Margenes!K26</f>
        <v>34500</v>
      </c>
      <c r="K6" s="3">
        <f>Detalle_SKU_Con_Margenes!L26</f>
        <v>32400</v>
      </c>
      <c r="L6" s="3">
        <f>Detalle_SKU_Con_Margenes!M26</f>
        <v>30300</v>
      </c>
      <c r="M6" s="4">
        <f t="shared" si="0"/>
        <v>0.24625322997416021</v>
      </c>
      <c r="N6" s="4">
        <f t="shared" si="1"/>
        <v>0.20300546448087431</v>
      </c>
      <c r="O6" s="4">
        <f t="shared" si="2"/>
        <v>0.1544927536231884</v>
      </c>
      <c r="P6" s="4">
        <f t="shared" si="3"/>
        <v>9.9691358024691354E-2</v>
      </c>
      <c r="Q6" s="4">
        <f t="shared" si="4"/>
        <v>3.7293729372937297E-2</v>
      </c>
    </row>
    <row r="7" spans="1:17" x14ac:dyDescent="0.2">
      <c r="B7" s="2" t="s">
        <v>22</v>
      </c>
      <c r="C7" s="2" t="s">
        <v>21</v>
      </c>
      <c r="D7" s="2" t="s">
        <v>23</v>
      </c>
      <c r="E7" s="3">
        <f>Detalle_SKU_Con_Margenes!F32</f>
        <v>30170</v>
      </c>
      <c r="F7" s="3">
        <v>55000</v>
      </c>
      <c r="G7" s="3">
        <v>38700</v>
      </c>
      <c r="H7" s="3">
        <f>Detalle_SKU_Con_Margenes!I32</f>
        <v>38700</v>
      </c>
      <c r="I7" s="3">
        <f>Detalle_SKU_Con_Margenes!J32</f>
        <v>36600</v>
      </c>
      <c r="J7" s="3">
        <f>Detalle_SKU_Con_Margenes!K32</f>
        <v>34500</v>
      </c>
      <c r="K7" s="3">
        <f>Detalle_SKU_Con_Margenes!L32</f>
        <v>32400</v>
      </c>
      <c r="L7" s="3">
        <f>Detalle_SKU_Con_Margenes!M32</f>
        <v>30300</v>
      </c>
      <c r="M7" s="4">
        <f t="shared" si="0"/>
        <v>0.22041343669250646</v>
      </c>
      <c r="N7" s="4">
        <f t="shared" si="1"/>
        <v>0.17568306010928961</v>
      </c>
      <c r="O7" s="4">
        <f t="shared" si="2"/>
        <v>0.1255072463768116</v>
      </c>
      <c r="P7" s="4">
        <f t="shared" si="3"/>
        <v>6.8827160493827158E-2</v>
      </c>
      <c r="Q7" s="4">
        <f t="shared" si="4"/>
        <v>4.2904290429042905E-3</v>
      </c>
    </row>
    <row r="8" spans="1:17" x14ac:dyDescent="0.2">
      <c r="B8" s="2" t="s">
        <v>22</v>
      </c>
      <c r="C8" s="2" t="s">
        <v>24</v>
      </c>
      <c r="D8" s="2" t="s">
        <v>23</v>
      </c>
      <c r="E8" s="3">
        <f>Detalle_SKU_Con_Margenes!F38</f>
        <v>29170</v>
      </c>
      <c r="F8" s="3">
        <v>55000</v>
      </c>
      <c r="G8" s="3">
        <v>38700</v>
      </c>
      <c r="H8" s="3">
        <f>Detalle_SKU_Con_Margenes!I38</f>
        <v>38700</v>
      </c>
      <c r="I8" s="3">
        <f>Detalle_SKU_Con_Margenes!J38</f>
        <v>36600</v>
      </c>
      <c r="J8" s="3">
        <f>Detalle_SKU_Con_Margenes!K38</f>
        <v>34500</v>
      </c>
      <c r="K8" s="3">
        <f>Detalle_SKU_Con_Margenes!L38</f>
        <v>32400</v>
      </c>
      <c r="L8" s="3">
        <f>Detalle_SKU_Con_Margenes!M38</f>
        <v>30300</v>
      </c>
      <c r="M8" s="4">
        <f t="shared" si="0"/>
        <v>0.24625322997416021</v>
      </c>
      <c r="N8" s="4">
        <f t="shared" si="1"/>
        <v>0.20300546448087431</v>
      </c>
      <c r="O8" s="4">
        <f t="shared" si="2"/>
        <v>0.1544927536231884</v>
      </c>
      <c r="P8" s="4">
        <f t="shared" si="3"/>
        <v>9.9691358024691354E-2</v>
      </c>
      <c r="Q8" s="4">
        <f t="shared" si="4"/>
        <v>3.7293729372937297E-2</v>
      </c>
    </row>
    <row r="9" spans="1:17" x14ac:dyDescent="0.2">
      <c r="B9" s="2" t="s">
        <v>22</v>
      </c>
      <c r="C9" s="2" t="s">
        <v>25</v>
      </c>
      <c r="D9" s="2" t="s">
        <v>23</v>
      </c>
      <c r="E9" s="3">
        <f>Detalle_SKU_Con_Margenes!F43</f>
        <v>29170</v>
      </c>
      <c r="F9" s="3">
        <v>55000</v>
      </c>
      <c r="G9" s="3">
        <v>38700</v>
      </c>
      <c r="H9" s="3">
        <f>Detalle_SKU_Con_Margenes!I43</f>
        <v>38700</v>
      </c>
      <c r="I9" s="3">
        <f>Detalle_SKU_Con_Margenes!J43</f>
        <v>36600</v>
      </c>
      <c r="J9" s="3">
        <f>Detalle_SKU_Con_Margenes!K43</f>
        <v>34500</v>
      </c>
      <c r="K9" s="3">
        <f>Detalle_SKU_Con_Margenes!L43</f>
        <v>32400</v>
      </c>
      <c r="L9" s="3">
        <f>Detalle_SKU_Con_Margenes!M43</f>
        <v>30300</v>
      </c>
      <c r="M9" s="4">
        <f t="shared" si="0"/>
        <v>0.24625322997416021</v>
      </c>
      <c r="N9" s="4">
        <f t="shared" si="1"/>
        <v>0.20300546448087431</v>
      </c>
      <c r="O9" s="4">
        <f t="shared" si="2"/>
        <v>0.1544927536231884</v>
      </c>
      <c r="P9" s="4">
        <f t="shared" si="3"/>
        <v>9.9691358024691354E-2</v>
      </c>
      <c r="Q9" s="4">
        <f t="shared" si="4"/>
        <v>3.7293729372937297E-2</v>
      </c>
    </row>
    <row r="10" spans="1:17" x14ac:dyDescent="0.2">
      <c r="B10" s="2" t="s">
        <v>22</v>
      </c>
      <c r="C10" s="2" t="s">
        <v>26</v>
      </c>
      <c r="D10" s="2" t="s">
        <v>23</v>
      </c>
      <c r="E10" s="3">
        <f>Detalle_SKU_Con_Margenes!F48</f>
        <v>29170</v>
      </c>
      <c r="F10" s="3">
        <v>55000</v>
      </c>
      <c r="G10" s="3">
        <v>38700</v>
      </c>
      <c r="H10" s="3">
        <f>Detalle_SKU_Con_Margenes!I48</f>
        <v>38700</v>
      </c>
      <c r="I10" s="3">
        <f>Detalle_SKU_Con_Margenes!J48</f>
        <v>36600</v>
      </c>
      <c r="J10" s="3">
        <f>Detalle_SKU_Con_Margenes!K48</f>
        <v>34500</v>
      </c>
      <c r="K10" s="3">
        <f>Detalle_SKU_Con_Margenes!L48</f>
        <v>32400</v>
      </c>
      <c r="L10" s="3">
        <f>Detalle_SKU_Con_Margenes!M48</f>
        <v>30300</v>
      </c>
      <c r="M10" s="4">
        <f t="shared" si="0"/>
        <v>0.24625322997416021</v>
      </c>
      <c r="N10" s="4">
        <f t="shared" si="1"/>
        <v>0.20300546448087431</v>
      </c>
      <c r="O10" s="4">
        <f t="shared" si="2"/>
        <v>0.1544927536231884</v>
      </c>
      <c r="P10" s="4">
        <f t="shared" si="3"/>
        <v>9.9691358024691354E-2</v>
      </c>
      <c r="Q10" s="4">
        <f t="shared" si="4"/>
        <v>3.7293729372937297E-2</v>
      </c>
    </row>
    <row r="11" spans="1:17" x14ac:dyDescent="0.2">
      <c r="B11" s="2" t="s">
        <v>27</v>
      </c>
      <c r="C11" s="2" t="s">
        <v>18</v>
      </c>
      <c r="D11" s="2" t="s">
        <v>28</v>
      </c>
      <c r="E11" s="3">
        <f>Detalle_SKU_Con_Margenes!F53</f>
        <v>19000</v>
      </c>
      <c r="F11" s="3">
        <v>31000</v>
      </c>
      <c r="G11" s="3">
        <v>25400</v>
      </c>
      <c r="H11" s="3">
        <v>26600</v>
      </c>
      <c r="I11" s="3">
        <v>25900</v>
      </c>
      <c r="J11" s="3">
        <v>25100</v>
      </c>
      <c r="K11" s="3">
        <v>24300</v>
      </c>
      <c r="L11" s="3">
        <v>23600</v>
      </c>
      <c r="M11" s="4">
        <f t="shared" si="0"/>
        <v>0.2857142857142857</v>
      </c>
      <c r="N11" s="4">
        <f t="shared" si="1"/>
        <v>0.26640926640926643</v>
      </c>
      <c r="O11" s="4">
        <f t="shared" si="2"/>
        <v>0.24302788844621515</v>
      </c>
      <c r="P11" s="4">
        <f t="shared" si="3"/>
        <v>0.21810699588477367</v>
      </c>
      <c r="Q11" s="4">
        <f t="shared" si="4"/>
        <v>0.19491525423728814</v>
      </c>
    </row>
    <row r="12" spans="1:17" x14ac:dyDescent="0.2">
      <c r="B12" s="2" t="s">
        <v>27</v>
      </c>
      <c r="C12" s="2" t="s">
        <v>24</v>
      </c>
      <c r="D12" s="2" t="s">
        <v>28</v>
      </c>
      <c r="E12" s="3">
        <f>Detalle_SKU_Con_Margenes!F60</f>
        <v>23070</v>
      </c>
      <c r="F12" s="3">
        <v>31000</v>
      </c>
      <c r="G12" s="3">
        <v>25400</v>
      </c>
      <c r="H12" s="3">
        <v>26600</v>
      </c>
      <c r="I12" s="3">
        <v>25900</v>
      </c>
      <c r="J12" s="3">
        <v>25100</v>
      </c>
      <c r="K12" s="3">
        <v>24300</v>
      </c>
      <c r="L12" s="3">
        <v>23600</v>
      </c>
      <c r="M12" s="4">
        <f t="shared" si="0"/>
        <v>0.13270676691729325</v>
      </c>
      <c r="N12" s="4">
        <f t="shared" si="1"/>
        <v>0.10926640926640926</v>
      </c>
      <c r="O12" s="4">
        <f t="shared" si="2"/>
        <v>8.0876494023904386E-2</v>
      </c>
      <c r="P12" s="4">
        <f t="shared" si="3"/>
        <v>5.0617283950617285E-2</v>
      </c>
      <c r="Q12" s="4">
        <f t="shared" si="4"/>
        <v>2.2457627118644068E-2</v>
      </c>
    </row>
    <row r="13" spans="1:17" x14ac:dyDescent="0.2">
      <c r="B13" s="2" t="s">
        <v>27</v>
      </c>
      <c r="C13" s="2" t="s">
        <v>20</v>
      </c>
      <c r="D13" s="2" t="s">
        <v>28</v>
      </c>
      <c r="E13" s="3">
        <f>Detalle_SKU_Con_Margenes!F64</f>
        <v>23070</v>
      </c>
      <c r="F13" s="3">
        <v>31000</v>
      </c>
      <c r="G13" s="3">
        <v>25400</v>
      </c>
      <c r="H13" s="3">
        <v>26600</v>
      </c>
      <c r="I13" s="3">
        <v>25900</v>
      </c>
      <c r="J13" s="3">
        <v>25100</v>
      </c>
      <c r="K13" s="3">
        <v>24300</v>
      </c>
      <c r="L13" s="3">
        <v>23600</v>
      </c>
      <c r="M13" s="4">
        <f t="shared" si="0"/>
        <v>0.13270676691729325</v>
      </c>
      <c r="N13" s="4">
        <f t="shared" si="1"/>
        <v>0.10926640926640926</v>
      </c>
      <c r="O13" s="4">
        <f t="shared" si="2"/>
        <v>8.0876494023904386E-2</v>
      </c>
      <c r="P13" s="4">
        <f t="shared" si="3"/>
        <v>5.0617283950617285E-2</v>
      </c>
      <c r="Q13" s="4">
        <f t="shared" si="4"/>
        <v>2.2457627118644068E-2</v>
      </c>
    </row>
    <row r="14" spans="1:17" x14ac:dyDescent="0.2">
      <c r="B14" s="2" t="s">
        <v>27</v>
      </c>
      <c r="C14" s="2" t="s">
        <v>21</v>
      </c>
      <c r="D14" s="2" t="s">
        <v>28</v>
      </c>
      <c r="E14" s="3">
        <f>Detalle_SKU_Con_Margenes!F71</f>
        <v>23470</v>
      </c>
      <c r="F14" s="3">
        <v>31000</v>
      </c>
      <c r="G14" s="3">
        <v>25400</v>
      </c>
      <c r="H14" s="3">
        <v>26600</v>
      </c>
      <c r="I14" s="3">
        <v>25900</v>
      </c>
      <c r="J14" s="3">
        <v>25100</v>
      </c>
      <c r="K14" s="3">
        <v>24300</v>
      </c>
      <c r="L14" s="3">
        <v>23600</v>
      </c>
      <c r="M14" s="4">
        <f t="shared" si="0"/>
        <v>0.11766917293233083</v>
      </c>
      <c r="N14" s="4">
        <f t="shared" si="1"/>
        <v>9.3822393822393824E-2</v>
      </c>
      <c r="O14" s="4">
        <f t="shared" si="2"/>
        <v>6.4940239043824705E-2</v>
      </c>
      <c r="P14" s="4">
        <f t="shared" si="3"/>
        <v>3.4156378600823045E-2</v>
      </c>
      <c r="Q14" s="4">
        <f t="shared" si="4"/>
        <v>5.5084745762711863E-3</v>
      </c>
    </row>
    <row r="15" spans="1:17" x14ac:dyDescent="0.2">
      <c r="B15" s="2" t="s">
        <v>29</v>
      </c>
      <c r="C15" s="2" t="s">
        <v>18</v>
      </c>
      <c r="D15" s="2" t="s">
        <v>30</v>
      </c>
      <c r="E15" s="3">
        <f>Detalle_SKU_Con_Margenes!F75</f>
        <v>18600</v>
      </c>
      <c r="F15" s="3">
        <v>28600</v>
      </c>
      <c r="G15" s="3">
        <v>25700</v>
      </c>
      <c r="H15" s="3">
        <v>25800</v>
      </c>
      <c r="I15" s="3">
        <v>25100</v>
      </c>
      <c r="J15" s="3">
        <v>24400</v>
      </c>
      <c r="K15" s="3">
        <v>23800</v>
      </c>
      <c r="L15" s="3">
        <v>23600</v>
      </c>
      <c r="M15" s="4">
        <f t="shared" si="0"/>
        <v>0.27906976744186046</v>
      </c>
      <c r="N15" s="4">
        <f t="shared" si="1"/>
        <v>0.25896414342629481</v>
      </c>
      <c r="O15" s="4">
        <f t="shared" si="2"/>
        <v>0.23770491803278687</v>
      </c>
      <c r="P15" s="4">
        <f t="shared" si="3"/>
        <v>0.21848739495798319</v>
      </c>
      <c r="Q15" s="4">
        <f t="shared" si="4"/>
        <v>0.21186440677966101</v>
      </c>
    </row>
    <row r="16" spans="1:17" x14ac:dyDescent="0.2">
      <c r="B16" s="2" t="s">
        <v>29</v>
      </c>
      <c r="C16" s="2" t="s">
        <v>20</v>
      </c>
      <c r="D16" s="2" t="s">
        <v>30</v>
      </c>
      <c r="E16" s="3">
        <f>Detalle_SKU_Con_Margenes!F80</f>
        <v>22670</v>
      </c>
      <c r="F16" s="3">
        <v>28600</v>
      </c>
      <c r="G16" s="3">
        <v>25700</v>
      </c>
      <c r="H16" s="3">
        <v>25800</v>
      </c>
      <c r="I16" s="3">
        <v>25100</v>
      </c>
      <c r="J16" s="3">
        <v>24400</v>
      </c>
      <c r="K16" s="3">
        <v>23800</v>
      </c>
      <c r="L16" s="3">
        <v>23600</v>
      </c>
      <c r="M16" s="4">
        <f t="shared" si="0"/>
        <v>0.12131782945736434</v>
      </c>
      <c r="N16" s="4">
        <f t="shared" si="1"/>
        <v>9.6812749003984067E-2</v>
      </c>
      <c r="O16" s="4">
        <f t="shared" si="2"/>
        <v>7.0901639344262302E-2</v>
      </c>
      <c r="P16" s="4">
        <f t="shared" si="3"/>
        <v>4.7478991596638653E-2</v>
      </c>
      <c r="Q16" s="4">
        <f t="shared" si="4"/>
        <v>3.9406779661016952E-2</v>
      </c>
    </row>
    <row r="17" spans="2:17" x14ac:dyDescent="0.2">
      <c r="B17" s="2" t="s">
        <v>31</v>
      </c>
      <c r="C17" s="2" t="s">
        <v>32</v>
      </c>
      <c r="D17" s="2" t="s">
        <v>30</v>
      </c>
      <c r="E17" s="3">
        <f>Detalle_SKU_Con_Margenes!F85</f>
        <v>18600</v>
      </c>
      <c r="F17" s="3">
        <v>28600</v>
      </c>
      <c r="G17" s="3">
        <v>25700</v>
      </c>
      <c r="H17" s="3">
        <v>25800</v>
      </c>
      <c r="I17" s="3">
        <v>25100</v>
      </c>
      <c r="J17" s="3">
        <v>24400</v>
      </c>
      <c r="K17" s="3">
        <v>23800</v>
      </c>
      <c r="L17" s="3">
        <v>23600</v>
      </c>
      <c r="M17" s="4">
        <f t="shared" si="0"/>
        <v>0.27906976744186046</v>
      </c>
      <c r="N17" s="4">
        <f t="shared" si="1"/>
        <v>0.25896414342629481</v>
      </c>
      <c r="O17" s="4">
        <f t="shared" si="2"/>
        <v>0.23770491803278687</v>
      </c>
      <c r="P17" s="4">
        <f t="shared" si="3"/>
        <v>0.21848739495798319</v>
      </c>
      <c r="Q17" s="4">
        <f t="shared" si="4"/>
        <v>0.21186440677966101</v>
      </c>
    </row>
    <row r="18" spans="2:17" x14ac:dyDescent="0.2">
      <c r="B18" s="2" t="s">
        <v>31</v>
      </c>
      <c r="C18" s="2" t="s">
        <v>33</v>
      </c>
      <c r="D18" s="2" t="s">
        <v>30</v>
      </c>
      <c r="E18" s="3">
        <f>Detalle_SKU_Con_Margenes!F90</f>
        <v>22670</v>
      </c>
      <c r="F18" s="3">
        <v>28600</v>
      </c>
      <c r="G18" s="3">
        <v>25700</v>
      </c>
      <c r="H18" s="3">
        <v>25800</v>
      </c>
      <c r="I18" s="3">
        <v>25100</v>
      </c>
      <c r="J18" s="3">
        <v>24400</v>
      </c>
      <c r="K18" s="3">
        <v>23800</v>
      </c>
      <c r="L18" s="3">
        <v>23600</v>
      </c>
      <c r="M18" s="4">
        <f t="shared" si="0"/>
        <v>0.12131782945736434</v>
      </c>
      <c r="N18" s="4">
        <f t="shared" si="1"/>
        <v>9.6812749003984067E-2</v>
      </c>
      <c r="O18" s="4">
        <f t="shared" si="2"/>
        <v>7.0901639344262302E-2</v>
      </c>
      <c r="P18" s="4">
        <f t="shared" si="3"/>
        <v>4.7478991596638653E-2</v>
      </c>
      <c r="Q18" s="4">
        <f t="shared" si="4"/>
        <v>3.9406779661016952E-2</v>
      </c>
    </row>
    <row r="19" spans="2:17" x14ac:dyDescent="0.2">
      <c r="B19" s="2" t="s">
        <v>34</v>
      </c>
      <c r="C19" s="2" t="s">
        <v>35</v>
      </c>
      <c r="D19" s="2" t="s">
        <v>36</v>
      </c>
      <c r="E19" s="3">
        <f>Detalle_SKU_Con_Margenes!F95</f>
        <v>18100</v>
      </c>
      <c r="F19" s="3">
        <v>23500</v>
      </c>
      <c r="G19" s="3">
        <v>19300</v>
      </c>
      <c r="H19" s="3">
        <v>20800</v>
      </c>
      <c r="I19" s="3">
        <v>20300</v>
      </c>
      <c r="J19" s="3">
        <v>19800</v>
      </c>
      <c r="K19" s="3">
        <v>19300</v>
      </c>
      <c r="L19" s="3">
        <v>18900</v>
      </c>
      <c r="M19" s="4">
        <f t="shared" si="0"/>
        <v>0.12980769230769232</v>
      </c>
      <c r="N19" s="4">
        <f t="shared" si="1"/>
        <v>0.10837438423645321</v>
      </c>
      <c r="O19" s="4">
        <f t="shared" si="2"/>
        <v>8.5858585858585856E-2</v>
      </c>
      <c r="P19" s="4">
        <f t="shared" si="3"/>
        <v>6.2176165803108807E-2</v>
      </c>
      <c r="Q19" s="4">
        <f t="shared" si="4"/>
        <v>4.2328042328042326E-2</v>
      </c>
    </row>
    <row r="20" spans="2:17" x14ac:dyDescent="0.2">
      <c r="B20" s="2" t="s">
        <v>34</v>
      </c>
      <c r="C20" s="2" t="s">
        <v>37</v>
      </c>
      <c r="D20" s="2" t="s">
        <v>36</v>
      </c>
      <c r="E20" s="3">
        <f>Detalle_SKU_Con_Margenes!F100</f>
        <v>18100</v>
      </c>
      <c r="F20" s="3">
        <v>23500</v>
      </c>
      <c r="G20" s="3">
        <v>19300</v>
      </c>
      <c r="H20" s="3">
        <v>20800</v>
      </c>
      <c r="I20" s="3">
        <v>20300</v>
      </c>
      <c r="J20" s="3">
        <v>19800</v>
      </c>
      <c r="K20" s="3">
        <v>19300</v>
      </c>
      <c r="L20" s="3">
        <v>18900</v>
      </c>
      <c r="M20" s="4">
        <f t="shared" si="0"/>
        <v>0.12980769230769232</v>
      </c>
      <c r="N20" s="4">
        <f t="shared" si="1"/>
        <v>0.10837438423645321</v>
      </c>
      <c r="O20" s="4">
        <f t="shared" si="2"/>
        <v>8.5858585858585856E-2</v>
      </c>
      <c r="P20" s="4">
        <f t="shared" si="3"/>
        <v>6.2176165803108807E-2</v>
      </c>
      <c r="Q20" s="4">
        <f t="shared" si="4"/>
        <v>4.2328042328042326E-2</v>
      </c>
    </row>
    <row r="21" spans="2:17" ht="15.75" customHeight="1" x14ac:dyDescent="0.2">
      <c r="B21" s="2" t="s">
        <v>34</v>
      </c>
      <c r="C21" s="2" t="s">
        <v>26</v>
      </c>
      <c r="D21" s="2" t="s">
        <v>36</v>
      </c>
      <c r="E21" s="3">
        <f>Detalle_SKU_Con_Margenes!F105</f>
        <v>18100</v>
      </c>
      <c r="F21" s="3">
        <v>23500</v>
      </c>
      <c r="G21" s="3">
        <v>19300</v>
      </c>
      <c r="H21" s="3">
        <v>20800</v>
      </c>
      <c r="I21" s="3">
        <v>20300</v>
      </c>
      <c r="J21" s="3">
        <v>19800</v>
      </c>
      <c r="K21" s="3">
        <v>19300</v>
      </c>
      <c r="L21" s="3">
        <v>18900</v>
      </c>
      <c r="M21" s="4">
        <f t="shared" si="0"/>
        <v>0.12980769230769232</v>
      </c>
      <c r="N21" s="4">
        <f t="shared" si="1"/>
        <v>0.10837438423645321</v>
      </c>
      <c r="O21" s="4">
        <f t="shared" si="2"/>
        <v>8.5858585858585856E-2</v>
      </c>
      <c r="P21" s="4">
        <f t="shared" si="3"/>
        <v>6.2176165803108807E-2</v>
      </c>
      <c r="Q21" s="4">
        <f t="shared" si="4"/>
        <v>4.2328042328042326E-2</v>
      </c>
    </row>
    <row r="22" spans="2:17" ht="15.75" customHeight="1" x14ac:dyDescent="0.2">
      <c r="B22" s="2" t="s">
        <v>34</v>
      </c>
      <c r="C22" s="2" t="s">
        <v>33</v>
      </c>
      <c r="D22" s="2" t="s">
        <v>36</v>
      </c>
      <c r="E22" s="3">
        <f>Detalle_SKU_Con_Margenes!F95</f>
        <v>18100</v>
      </c>
      <c r="F22" s="3">
        <v>23500</v>
      </c>
      <c r="G22" s="3">
        <v>19300</v>
      </c>
      <c r="H22" s="3">
        <v>20800</v>
      </c>
      <c r="I22" s="3">
        <v>20300</v>
      </c>
      <c r="J22" s="3">
        <v>19800</v>
      </c>
      <c r="K22" s="3">
        <v>19300</v>
      </c>
      <c r="L22" s="3">
        <v>18900</v>
      </c>
      <c r="M22" s="4">
        <f t="shared" si="0"/>
        <v>0.12980769230769232</v>
      </c>
      <c r="N22" s="4">
        <f t="shared" si="1"/>
        <v>0.10837438423645321</v>
      </c>
      <c r="O22" s="4">
        <f t="shared" si="2"/>
        <v>8.5858585858585856E-2</v>
      </c>
      <c r="P22" s="4">
        <f t="shared" si="3"/>
        <v>6.2176165803108807E-2</v>
      </c>
      <c r="Q22" s="4">
        <f t="shared" si="4"/>
        <v>4.2328042328042326E-2</v>
      </c>
    </row>
    <row r="23" spans="2:17" ht="15.75" customHeight="1" x14ac:dyDescent="0.2">
      <c r="B23" s="2" t="s">
        <v>38</v>
      </c>
      <c r="C23" s="2" t="s">
        <v>32</v>
      </c>
      <c r="D23" s="2" t="s">
        <v>39</v>
      </c>
      <c r="E23" s="3">
        <f>'Precios Tab Dreamfull-sheets'!$G$12</f>
        <v>18100</v>
      </c>
      <c r="F23" s="3">
        <v>21800</v>
      </c>
      <c r="G23" s="3">
        <f>H23</f>
        <v>20800</v>
      </c>
      <c r="H23" s="3">
        <v>20800</v>
      </c>
      <c r="I23" s="3">
        <v>20700</v>
      </c>
      <c r="J23" s="3">
        <v>20500</v>
      </c>
      <c r="K23" s="3">
        <v>20300</v>
      </c>
      <c r="L23" s="3">
        <v>20100</v>
      </c>
      <c r="M23" s="4">
        <f t="shared" si="0"/>
        <v>0.12980769230769232</v>
      </c>
      <c r="N23" s="4">
        <f t="shared" si="1"/>
        <v>0.12560386473429952</v>
      </c>
      <c r="O23" s="4">
        <f t="shared" si="2"/>
        <v>0.11707317073170732</v>
      </c>
      <c r="P23" s="4">
        <f t="shared" si="3"/>
        <v>0.10837438423645321</v>
      </c>
      <c r="Q23" s="4">
        <f t="shared" si="4"/>
        <v>9.950248756218906E-2</v>
      </c>
    </row>
    <row r="24" spans="2:17" ht="15.75" customHeight="1" x14ac:dyDescent="0.2">
      <c r="B24" s="2" t="s">
        <v>38</v>
      </c>
      <c r="C24" s="2" t="s">
        <v>40</v>
      </c>
      <c r="D24" s="2" t="s">
        <v>39</v>
      </c>
      <c r="E24" s="3">
        <f>'Precios Tab Dreamfull-sheets'!$G$12</f>
        <v>18100</v>
      </c>
      <c r="F24" s="3">
        <v>21800</v>
      </c>
      <c r="G24" s="3">
        <f>H24</f>
        <v>20800</v>
      </c>
      <c r="H24" s="3">
        <v>20800</v>
      </c>
      <c r="I24" s="3">
        <v>20700</v>
      </c>
      <c r="J24" s="3">
        <v>20500</v>
      </c>
      <c r="K24" s="3">
        <v>20300</v>
      </c>
      <c r="L24" s="3">
        <v>20100</v>
      </c>
      <c r="M24" s="4">
        <f t="shared" si="0"/>
        <v>0.12980769230769232</v>
      </c>
      <c r="N24" s="4">
        <f t="shared" si="1"/>
        <v>0.12560386473429952</v>
      </c>
      <c r="O24" s="4">
        <f t="shared" si="2"/>
        <v>0.11707317073170732</v>
      </c>
      <c r="P24" s="4">
        <f t="shared" si="3"/>
        <v>0.10837438423645321</v>
      </c>
      <c r="Q24" s="4">
        <f t="shared" si="4"/>
        <v>9.950248756218906E-2</v>
      </c>
    </row>
    <row r="25" spans="2:17" ht="15.75" customHeight="1" x14ac:dyDescent="0.2">
      <c r="B25" s="2" t="s">
        <v>38</v>
      </c>
      <c r="C25" s="2" t="s">
        <v>33</v>
      </c>
      <c r="D25" s="2" t="s">
        <v>39</v>
      </c>
      <c r="E25" s="3">
        <f>'Precios Tab Dreamfull-sheets'!$G$12</f>
        <v>18100</v>
      </c>
      <c r="F25" s="3">
        <v>21800</v>
      </c>
      <c r="G25" s="3">
        <f>H25</f>
        <v>20800</v>
      </c>
      <c r="H25" s="3">
        <v>20800</v>
      </c>
      <c r="I25" s="3">
        <v>20700</v>
      </c>
      <c r="J25" s="3">
        <v>20500</v>
      </c>
      <c r="K25" s="3">
        <v>20300</v>
      </c>
      <c r="L25" s="3">
        <v>20100</v>
      </c>
      <c r="M25" s="4">
        <f t="shared" si="0"/>
        <v>0.12980769230769232</v>
      </c>
      <c r="N25" s="4">
        <f t="shared" si="1"/>
        <v>0.12560386473429952</v>
      </c>
      <c r="O25" s="4">
        <f t="shared" si="2"/>
        <v>0.11707317073170732</v>
      </c>
      <c r="P25" s="4">
        <f t="shared" si="3"/>
        <v>0.10837438423645321</v>
      </c>
      <c r="Q25" s="4">
        <f t="shared" si="4"/>
        <v>9.950248756218906E-2</v>
      </c>
    </row>
    <row r="26" spans="2:17" ht="15.75" customHeight="1" x14ac:dyDescent="0.2"/>
    <row r="27" spans="2:17" ht="15.75" customHeight="1" x14ac:dyDescent="0.2"/>
    <row r="28" spans="2:17" ht="15.75" customHeight="1" x14ac:dyDescent="0.2"/>
    <row r="29" spans="2:17" ht="15.75" customHeight="1" x14ac:dyDescent="0.2"/>
    <row r="30" spans="2:17" ht="15.75" customHeight="1" x14ac:dyDescent="0.2"/>
    <row r="31" spans="2:17" ht="15.75" customHeight="1" x14ac:dyDescent="0.2"/>
    <row r="32" spans="2: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DD2C-5FCE-E548-A56E-97FE488A2D29}">
  <dimension ref="A1:N28"/>
  <sheetViews>
    <sheetView workbookViewId="0">
      <selection activeCell="D38" sqref="D38"/>
    </sheetView>
  </sheetViews>
  <sheetFormatPr baseColWidth="10" defaultRowHeight="15" x14ac:dyDescent="0.2"/>
  <cols>
    <col min="1" max="1" width="25" customWidth="1"/>
    <col min="2" max="3" width="12.5" customWidth="1"/>
    <col min="4" max="9" width="14.1640625" customWidth="1"/>
    <col min="10" max="14" width="15.83203125" customWidth="1"/>
  </cols>
  <sheetData>
    <row r="1" spans="1:14" ht="19" x14ac:dyDescent="0.25">
      <c r="A1" s="52" t="s">
        <v>457</v>
      </c>
      <c r="B1" s="52"/>
      <c r="C1" s="52"/>
      <c r="D1" s="52"/>
      <c r="E1" s="52"/>
      <c r="F1" s="52"/>
      <c r="G1" s="52"/>
      <c r="H1" s="52"/>
      <c r="I1" s="52"/>
      <c r="J1" s="52"/>
      <c r="K1" s="52"/>
      <c r="L1" s="52"/>
      <c r="M1" s="52"/>
      <c r="N1" s="52"/>
    </row>
    <row r="2" spans="1:14" x14ac:dyDescent="0.2">
      <c r="A2" s="53" t="s">
        <v>518</v>
      </c>
      <c r="B2" s="53"/>
      <c r="C2" s="53"/>
      <c r="D2" s="53"/>
      <c r="E2" s="53"/>
      <c r="F2" s="53"/>
      <c r="G2" s="53"/>
      <c r="H2" s="53"/>
      <c r="I2" s="53"/>
      <c r="J2" s="53"/>
      <c r="K2" s="53"/>
      <c r="L2" s="53"/>
      <c r="M2" s="53"/>
      <c r="N2" s="53"/>
    </row>
    <row r="4" spans="1:14" x14ac:dyDescent="0.2">
      <c r="A4" s="40" t="s">
        <v>1</v>
      </c>
      <c r="B4" s="40" t="s">
        <v>2</v>
      </c>
      <c r="C4" s="40" t="s">
        <v>3</v>
      </c>
      <c r="D4" s="40" t="s">
        <v>4</v>
      </c>
      <c r="E4" s="40" t="s">
        <v>7</v>
      </c>
      <c r="F4" s="40" t="s">
        <v>8</v>
      </c>
      <c r="G4" s="40" t="s">
        <v>9</v>
      </c>
      <c r="H4" s="40" t="s">
        <v>10</v>
      </c>
      <c r="I4" s="40" t="s">
        <v>11</v>
      </c>
      <c r="J4" s="40" t="s">
        <v>12</v>
      </c>
      <c r="K4" s="40" t="s">
        <v>13</v>
      </c>
      <c r="L4" s="40" t="s">
        <v>14</v>
      </c>
      <c r="M4" s="40" t="s">
        <v>15</v>
      </c>
      <c r="N4" s="40" t="s">
        <v>16</v>
      </c>
    </row>
    <row r="5" spans="1:14" x14ac:dyDescent="0.2">
      <c r="A5" t="str">
        <f>Precios_Para_Comunicar!B2</f>
        <v>Buzo Cuello Redondo</v>
      </c>
      <c r="B5" t="str">
        <f>Precios_Para_Comunicar!C2</f>
        <v>Blanco</v>
      </c>
      <c r="C5" t="str">
        <f>Precios_Para_Comunicar!D2</f>
        <v>crewneck</v>
      </c>
      <c r="D5" s="38">
        <f>Precios_Para_Comunicar!E2</f>
        <v>24100</v>
      </c>
      <c r="E5" s="38">
        <f>Resumen_por_Producto!$D$2+1000</f>
        <v>29170</v>
      </c>
      <c r="F5" s="38">
        <f>Resumen_por_Producto!$D$2+800</f>
        <v>28970</v>
      </c>
      <c r="G5" s="38">
        <f>Resumen_por_Producto!$D$2+600</f>
        <v>28770</v>
      </c>
      <c r="H5" s="38">
        <f>Resumen_por_Producto!$D$2+400</f>
        <v>28570</v>
      </c>
      <c r="I5" s="38">
        <f>Resumen_por_Producto!$D$2+200</f>
        <v>28370</v>
      </c>
      <c r="J5" s="39">
        <f>(E5-$D5)/E5</f>
        <v>0.17380870757627701</v>
      </c>
      <c r="K5" s="39">
        <f>(F5-$D5)/F5</f>
        <v>0.16810493614083535</v>
      </c>
      <c r="L5" s="39">
        <f>(G5-$D5)/G5</f>
        <v>0.16232186305179006</v>
      </c>
      <c r="M5" s="39">
        <f>(H5-$D5)/H5</f>
        <v>0.15645782289114454</v>
      </c>
      <c r="N5" s="39">
        <f>(I5-$D5)/I5</f>
        <v>0.15051110327811068</v>
      </c>
    </row>
    <row r="6" spans="1:14" x14ac:dyDescent="0.2">
      <c r="A6" t="str">
        <f>Precios_Para_Comunicar!B3</f>
        <v>Buzo Cuello Redondo</v>
      </c>
      <c r="B6" t="str">
        <f>Precios_Para_Comunicar!C3</f>
        <v>Negro</v>
      </c>
      <c r="C6" t="str">
        <f>Precios_Para_Comunicar!D3</f>
        <v>crewneck</v>
      </c>
      <c r="D6" s="38">
        <f>Precios_Para_Comunicar!E3</f>
        <v>28170</v>
      </c>
      <c r="E6" s="38">
        <f>Resumen_por_Producto!$D$2+1000</f>
        <v>29170</v>
      </c>
      <c r="F6" s="38">
        <f>Resumen_por_Producto!$D$2+800</f>
        <v>28970</v>
      </c>
      <c r="G6" s="38">
        <f>Resumen_por_Producto!$D$2+600</f>
        <v>28770</v>
      </c>
      <c r="H6" s="38">
        <f>Resumen_por_Producto!$D$2+400</f>
        <v>28570</v>
      </c>
      <c r="I6" s="38">
        <f>Resumen_por_Producto!$D$2+200</f>
        <v>28370</v>
      </c>
      <c r="J6" s="39">
        <f t="shared" ref="J6:J28" si="0">(E6-$D6)/E6</f>
        <v>3.4281796366129588E-2</v>
      </c>
      <c r="K6" s="39">
        <f t="shared" ref="K6:K28" si="1">(F6-$D6)/F6</f>
        <v>2.7614773904038662E-2</v>
      </c>
      <c r="L6" s="39">
        <f t="shared" ref="L6:L28" si="2">(G6-$D6)/G6</f>
        <v>2.0855057351407715E-2</v>
      </c>
      <c r="M6" s="39">
        <f t="shared" ref="M6:M28" si="3">(H6-$D6)/H6</f>
        <v>1.4000700035001749E-2</v>
      </c>
      <c r="N6" s="39">
        <f t="shared" ref="N6:N28" si="4">(I6-$D6)/I6</f>
        <v>7.0497003877335214E-3</v>
      </c>
    </row>
    <row r="7" spans="1:14" x14ac:dyDescent="0.2">
      <c r="A7" t="str">
        <f>Precios_Para_Comunicar!B4</f>
        <v>Buzo Cuello Redondo</v>
      </c>
      <c r="B7" t="str">
        <f>Precios_Para_Comunicar!C4</f>
        <v>Stone Wash</v>
      </c>
      <c r="C7" t="str">
        <f>Precios_Para_Comunicar!D4</f>
        <v>crewneck</v>
      </c>
      <c r="D7" s="38">
        <f>Precios_Para_Comunicar!E4</f>
        <v>28170</v>
      </c>
      <c r="E7" s="38">
        <f>Resumen_por_Producto!$D$2+1000</f>
        <v>29170</v>
      </c>
      <c r="F7" s="38">
        <f>Resumen_por_Producto!$D$2+800</f>
        <v>28970</v>
      </c>
      <c r="G7" s="38">
        <f>Resumen_por_Producto!$D$2+600</f>
        <v>28770</v>
      </c>
      <c r="H7" s="38">
        <f>Resumen_por_Producto!$D$2+400</f>
        <v>28570</v>
      </c>
      <c r="I7" s="38">
        <f>Resumen_por_Producto!$D$2+200</f>
        <v>28370</v>
      </c>
      <c r="J7" s="39">
        <f t="shared" si="0"/>
        <v>3.4281796366129588E-2</v>
      </c>
      <c r="K7" s="39">
        <f t="shared" si="1"/>
        <v>2.7614773904038662E-2</v>
      </c>
      <c r="L7" s="39">
        <f t="shared" si="2"/>
        <v>2.0855057351407715E-2</v>
      </c>
      <c r="M7" s="39">
        <f t="shared" si="3"/>
        <v>1.4000700035001749E-2</v>
      </c>
      <c r="N7" s="39">
        <f t="shared" si="4"/>
        <v>7.0497003877335214E-3</v>
      </c>
    </row>
    <row r="8" spans="1:14" x14ac:dyDescent="0.2">
      <c r="A8" t="str">
        <f>Precios_Para_Comunicar!B5</f>
        <v>Buzo Hoodie Unisex</v>
      </c>
      <c r="B8" t="str">
        <f>Precios_Para_Comunicar!C5</f>
        <v>Blanco</v>
      </c>
      <c r="C8" t="str">
        <f>Precios_Para_Comunicar!D5</f>
        <v>hoodie</v>
      </c>
      <c r="D8" s="38">
        <f>Precios_Para_Comunicar!E5</f>
        <v>25100</v>
      </c>
      <c r="E8" s="38">
        <f>Resumen_por_Producto!$D$3+1000</f>
        <v>31170</v>
      </c>
      <c r="F8" s="38">
        <f>Resumen_por_Producto!$D$3+800</f>
        <v>30970</v>
      </c>
      <c r="G8" s="38">
        <f>Resumen_por_Producto!$D$3+600</f>
        <v>30770</v>
      </c>
      <c r="H8" s="38">
        <f>Resumen_por_Producto!$D$3+400</f>
        <v>30570</v>
      </c>
      <c r="I8" s="38">
        <f>Resumen_por_Producto!$D$3+200</f>
        <v>30370</v>
      </c>
      <c r="J8" s="39">
        <f t="shared" si="0"/>
        <v>0.19473853063843438</v>
      </c>
      <c r="K8" s="39">
        <f t="shared" si="1"/>
        <v>0.18953826283500161</v>
      </c>
      <c r="L8" s="39">
        <f t="shared" si="2"/>
        <v>0.184270393240169</v>
      </c>
      <c r="M8" s="39">
        <f t="shared" si="3"/>
        <v>0.17893359502780504</v>
      </c>
      <c r="N8" s="39">
        <f t="shared" si="4"/>
        <v>0.17352650642081002</v>
      </c>
    </row>
    <row r="9" spans="1:14" x14ac:dyDescent="0.2">
      <c r="A9" t="str">
        <f>Precios_Para_Comunicar!B6</f>
        <v>Buzo Hoodie Unisex</v>
      </c>
      <c r="B9" t="str">
        <f>Precios_Para_Comunicar!C6</f>
        <v>Negro</v>
      </c>
      <c r="C9" t="str">
        <f>Precios_Para_Comunicar!D6</f>
        <v>hoodie</v>
      </c>
      <c r="D9" s="38">
        <f>Precios_Para_Comunicar!E6</f>
        <v>29170</v>
      </c>
      <c r="E9" s="38">
        <f>Resumen_por_Producto!$D$3+1000</f>
        <v>31170</v>
      </c>
      <c r="F9" s="38">
        <f>Resumen_por_Producto!$D$3+800</f>
        <v>30970</v>
      </c>
      <c r="G9" s="38">
        <f>Resumen_por_Producto!$D$3+600</f>
        <v>30770</v>
      </c>
      <c r="H9" s="38">
        <f>Resumen_por_Producto!$D$3+400</f>
        <v>30570</v>
      </c>
      <c r="I9" s="38">
        <f>Resumen_por_Producto!$D$3+200</f>
        <v>30370</v>
      </c>
      <c r="J9" s="39">
        <f t="shared" si="0"/>
        <v>6.4164260506897663E-2</v>
      </c>
      <c r="K9" s="39">
        <f t="shared" si="1"/>
        <v>5.8120762027768808E-2</v>
      </c>
      <c r="L9" s="39">
        <f t="shared" si="2"/>
        <v>5.1998700032499186E-2</v>
      </c>
      <c r="M9" s="39">
        <f t="shared" si="3"/>
        <v>4.5796532548249919E-2</v>
      </c>
      <c r="N9" s="39">
        <f t="shared" si="4"/>
        <v>3.9512676983865659E-2</v>
      </c>
    </row>
    <row r="10" spans="1:14" x14ac:dyDescent="0.2">
      <c r="A10" t="str">
        <f>Precios_Para_Comunicar!B7</f>
        <v>Buzo Hoodie Unisex</v>
      </c>
      <c r="B10" t="str">
        <f>Precios_Para_Comunicar!C7</f>
        <v>Stone Wash</v>
      </c>
      <c r="C10" t="str">
        <f>Precios_Para_Comunicar!D7</f>
        <v>hoodie</v>
      </c>
      <c r="D10" s="38">
        <f>Precios_Para_Comunicar!E7</f>
        <v>30170</v>
      </c>
      <c r="E10" s="38">
        <f>Resumen_por_Producto!$D$3+1000</f>
        <v>31170</v>
      </c>
      <c r="F10" s="38">
        <f>Resumen_por_Producto!$D$3+800</f>
        <v>30970</v>
      </c>
      <c r="G10" s="38">
        <f>Resumen_por_Producto!$D$3+600</f>
        <v>30770</v>
      </c>
      <c r="H10" s="38">
        <f>Resumen_por_Producto!$D$3+400</f>
        <v>30570</v>
      </c>
      <c r="I10" s="38">
        <f>Resumen_por_Producto!$D$3+200</f>
        <v>30370</v>
      </c>
      <c r="J10" s="39">
        <f t="shared" si="0"/>
        <v>3.2082130253448832E-2</v>
      </c>
      <c r="K10" s="39">
        <f t="shared" si="1"/>
        <v>2.5831449790119469E-2</v>
      </c>
      <c r="L10" s="39">
        <f t="shared" si="2"/>
        <v>1.9499512512187196E-2</v>
      </c>
      <c r="M10" s="39">
        <f t="shared" si="3"/>
        <v>1.3084723585214262E-2</v>
      </c>
      <c r="N10" s="39">
        <f t="shared" si="4"/>
        <v>6.5854461639776093E-3</v>
      </c>
    </row>
    <row r="11" spans="1:14" x14ac:dyDescent="0.2">
      <c r="A11" t="str">
        <f>Precios_Para_Comunicar!B8</f>
        <v>Buzo Hoodie Unisex</v>
      </c>
      <c r="B11" t="str">
        <f>Precios_Para_Comunicar!C8</f>
        <v>Caramel</v>
      </c>
      <c r="C11" t="str">
        <f>Precios_Para_Comunicar!D8</f>
        <v>hoodie</v>
      </c>
      <c r="D11" s="38">
        <f>Precios_Para_Comunicar!E8</f>
        <v>29170</v>
      </c>
      <c r="E11" s="38">
        <f>Resumen_por_Producto!$D$3+1000</f>
        <v>31170</v>
      </c>
      <c r="F11" s="38">
        <f>Resumen_por_Producto!$D$3+800</f>
        <v>30970</v>
      </c>
      <c r="G11" s="38">
        <f>Resumen_por_Producto!$D$3+600</f>
        <v>30770</v>
      </c>
      <c r="H11" s="38">
        <f>Resumen_por_Producto!$D$3+400</f>
        <v>30570</v>
      </c>
      <c r="I11" s="38">
        <f>Resumen_por_Producto!$D$3+200</f>
        <v>30370</v>
      </c>
      <c r="J11" s="39">
        <f t="shared" si="0"/>
        <v>6.4164260506897663E-2</v>
      </c>
      <c r="K11" s="39">
        <f t="shared" si="1"/>
        <v>5.8120762027768808E-2</v>
      </c>
      <c r="L11" s="39">
        <f t="shared" si="2"/>
        <v>5.1998700032499186E-2</v>
      </c>
      <c r="M11" s="39">
        <f t="shared" si="3"/>
        <v>4.5796532548249919E-2</v>
      </c>
      <c r="N11" s="39">
        <f t="shared" si="4"/>
        <v>3.9512676983865659E-2</v>
      </c>
    </row>
    <row r="12" spans="1:14" x14ac:dyDescent="0.2">
      <c r="A12" t="str">
        <f>Precios_Para_Comunicar!B9</f>
        <v>Buzo Hoodie Unisex</v>
      </c>
      <c r="B12" t="str">
        <f>Precios_Para_Comunicar!C9</f>
        <v>Crema</v>
      </c>
      <c r="C12" t="str">
        <f>Precios_Para_Comunicar!D9</f>
        <v>hoodie</v>
      </c>
      <c r="D12" s="38">
        <f>Precios_Para_Comunicar!E9</f>
        <v>29170</v>
      </c>
      <c r="E12" s="38">
        <f>Resumen_por_Producto!$D$3+1000</f>
        <v>31170</v>
      </c>
      <c r="F12" s="38">
        <f>Resumen_por_Producto!$D$3+800</f>
        <v>30970</v>
      </c>
      <c r="G12" s="38">
        <f>Resumen_por_Producto!$D$3+600</f>
        <v>30770</v>
      </c>
      <c r="H12" s="38">
        <f>Resumen_por_Producto!$D$3+400</f>
        <v>30570</v>
      </c>
      <c r="I12" s="38">
        <f>Resumen_por_Producto!$D$3+200</f>
        <v>30370</v>
      </c>
      <c r="J12" s="39">
        <f t="shared" si="0"/>
        <v>6.4164260506897663E-2</v>
      </c>
      <c r="K12" s="39">
        <f t="shared" si="1"/>
        <v>5.8120762027768808E-2</v>
      </c>
      <c r="L12" s="39">
        <f t="shared" si="2"/>
        <v>5.1998700032499186E-2</v>
      </c>
      <c r="M12" s="39">
        <f t="shared" si="3"/>
        <v>4.5796532548249919E-2</v>
      </c>
      <c r="N12" s="39">
        <f t="shared" si="4"/>
        <v>3.9512676983865659E-2</v>
      </c>
    </row>
    <row r="13" spans="1:14" x14ac:dyDescent="0.2">
      <c r="A13" t="str">
        <f>Precios_Para_Comunicar!B10</f>
        <v>Buzo Hoodie Unisex</v>
      </c>
      <c r="B13" t="str">
        <f>Precios_Para_Comunicar!C10</f>
        <v>Gris Melange</v>
      </c>
      <c r="C13" t="str">
        <f>Precios_Para_Comunicar!D10</f>
        <v>hoodie</v>
      </c>
      <c r="D13" s="38">
        <f>Precios_Para_Comunicar!E10</f>
        <v>29170</v>
      </c>
      <c r="E13" s="38">
        <f>Resumen_por_Producto!$D$3+1000</f>
        <v>31170</v>
      </c>
      <c r="F13" s="38">
        <f>Resumen_por_Producto!$D$3+800</f>
        <v>30970</v>
      </c>
      <c r="G13" s="38">
        <f>Resumen_por_Producto!$D$3+600</f>
        <v>30770</v>
      </c>
      <c r="H13" s="38">
        <f>Resumen_por_Producto!$D$3+400</f>
        <v>30570</v>
      </c>
      <c r="I13" s="38">
        <f>Resumen_por_Producto!$D$3+200</f>
        <v>30370</v>
      </c>
      <c r="J13" s="39">
        <f t="shared" si="0"/>
        <v>6.4164260506897663E-2</v>
      </c>
      <c r="K13" s="39">
        <f t="shared" si="1"/>
        <v>5.8120762027768808E-2</v>
      </c>
      <c r="L13" s="39">
        <f t="shared" si="2"/>
        <v>5.1998700032499186E-2</v>
      </c>
      <c r="M13" s="39">
        <f t="shared" si="3"/>
        <v>4.5796532548249919E-2</v>
      </c>
      <c r="N13" s="39">
        <f t="shared" si="4"/>
        <v>3.9512676983865659E-2</v>
      </c>
    </row>
    <row r="14" spans="1:14" x14ac:dyDescent="0.2">
      <c r="A14" t="str">
        <f>Precios_Para_Comunicar!B11</f>
        <v>Aura Oversize T-Shirt</v>
      </c>
      <c r="B14" t="str">
        <f>Precios_Para_Comunicar!C11</f>
        <v>Blanco</v>
      </c>
      <c r="C14" t="str">
        <f>Precios_Para_Comunicar!D11</f>
        <v>tee_oversize</v>
      </c>
      <c r="D14" s="38">
        <f>Precios_Para_Comunicar!E11</f>
        <v>19000</v>
      </c>
      <c r="E14" s="38">
        <f>Resumen_por_Producto!$D$4+1000</f>
        <v>24470</v>
      </c>
      <c r="F14" s="38">
        <f>Resumen_por_Producto!$D$4+800</f>
        <v>24270</v>
      </c>
      <c r="G14" s="38">
        <f>Resumen_por_Producto!$D$4+600</f>
        <v>24070</v>
      </c>
      <c r="H14" s="38">
        <f>Resumen_por_Producto!$D$4+400</f>
        <v>23870</v>
      </c>
      <c r="I14" s="38">
        <f>Resumen_por_Producto!$D$4+200</f>
        <v>23670</v>
      </c>
      <c r="J14" s="39">
        <f t="shared" si="0"/>
        <v>0.22353902738046588</v>
      </c>
      <c r="K14" s="39">
        <f t="shared" si="1"/>
        <v>0.21714050267820353</v>
      </c>
      <c r="L14" s="39">
        <f t="shared" si="2"/>
        <v>0.21063564603240548</v>
      </c>
      <c r="M14" s="39">
        <f t="shared" si="3"/>
        <v>0.20402178466694595</v>
      </c>
      <c r="N14" s="39">
        <f t="shared" si="4"/>
        <v>0.19729615547106041</v>
      </c>
    </row>
    <row r="15" spans="1:14" x14ac:dyDescent="0.2">
      <c r="A15" t="str">
        <f>Precios_Para_Comunicar!B12</f>
        <v>Aura Oversize T-Shirt</v>
      </c>
      <c r="B15" t="str">
        <f>Precios_Para_Comunicar!C12</f>
        <v>Caramel</v>
      </c>
      <c r="C15" t="str">
        <f>Precios_Para_Comunicar!D12</f>
        <v>tee_oversize</v>
      </c>
      <c r="D15" s="38">
        <f>Precios_Para_Comunicar!E12</f>
        <v>23070</v>
      </c>
      <c r="E15" s="38">
        <f>Resumen_por_Producto!$D$4+1000</f>
        <v>24470</v>
      </c>
      <c r="F15" s="38">
        <f>Resumen_por_Producto!$D$4+800</f>
        <v>24270</v>
      </c>
      <c r="G15" s="38">
        <f>Resumen_por_Producto!$D$4+600</f>
        <v>24070</v>
      </c>
      <c r="H15" s="38">
        <f>Resumen_por_Producto!$D$4+400</f>
        <v>23870</v>
      </c>
      <c r="I15" s="38">
        <f>Resumen_por_Producto!$D$4+200</f>
        <v>23670</v>
      </c>
      <c r="J15" s="39">
        <f t="shared" si="0"/>
        <v>5.7212913771965669E-2</v>
      </c>
      <c r="K15" s="39">
        <f t="shared" si="1"/>
        <v>4.9443757725587144E-2</v>
      </c>
      <c r="L15" s="39">
        <f t="shared" si="2"/>
        <v>4.1545492314083922E-2</v>
      </c>
      <c r="M15" s="39">
        <f t="shared" si="3"/>
        <v>3.3514872224549644E-2</v>
      </c>
      <c r="N15" s="39">
        <f t="shared" si="4"/>
        <v>2.5348542458808618E-2</v>
      </c>
    </row>
    <row r="16" spans="1:14" x14ac:dyDescent="0.2">
      <c r="A16" t="str">
        <f>Precios_Para_Comunicar!B13</f>
        <v>Aura Oversize T-Shirt</v>
      </c>
      <c r="B16" t="str">
        <f>Precios_Para_Comunicar!C13</f>
        <v>Negro</v>
      </c>
      <c r="C16" t="str">
        <f>Precios_Para_Comunicar!D13</f>
        <v>tee_oversize</v>
      </c>
      <c r="D16" s="38">
        <f>Precios_Para_Comunicar!E13</f>
        <v>23070</v>
      </c>
      <c r="E16" s="38">
        <f>Resumen_por_Producto!$D$4+1000</f>
        <v>24470</v>
      </c>
      <c r="F16" s="38">
        <f>Resumen_por_Producto!$D$4+800</f>
        <v>24270</v>
      </c>
      <c r="G16" s="38">
        <f>Resumen_por_Producto!$D$4+600</f>
        <v>24070</v>
      </c>
      <c r="H16" s="38">
        <f>Resumen_por_Producto!$D$4+400</f>
        <v>23870</v>
      </c>
      <c r="I16" s="38">
        <f>Resumen_por_Producto!$D$4+200</f>
        <v>23670</v>
      </c>
      <c r="J16" s="39">
        <f t="shared" si="0"/>
        <v>5.7212913771965669E-2</v>
      </c>
      <c r="K16" s="39">
        <f t="shared" si="1"/>
        <v>4.9443757725587144E-2</v>
      </c>
      <c r="L16" s="39">
        <f t="shared" si="2"/>
        <v>4.1545492314083922E-2</v>
      </c>
      <c r="M16" s="39">
        <f t="shared" si="3"/>
        <v>3.3514872224549644E-2</v>
      </c>
      <c r="N16" s="39">
        <f t="shared" si="4"/>
        <v>2.5348542458808618E-2</v>
      </c>
    </row>
    <row r="17" spans="1:14" x14ac:dyDescent="0.2">
      <c r="A17" t="str">
        <f>Precios_Para_Comunicar!B14</f>
        <v>Aura Oversize T-Shirt</v>
      </c>
      <c r="B17" t="str">
        <f>Precios_Para_Comunicar!C14</f>
        <v>Stone Wash</v>
      </c>
      <c r="C17" t="str">
        <f>Precios_Para_Comunicar!D14</f>
        <v>tee_oversize</v>
      </c>
      <c r="D17" s="38">
        <f>Precios_Para_Comunicar!E14</f>
        <v>23470</v>
      </c>
      <c r="E17" s="38">
        <f>Resumen_por_Producto!$D$4+1000</f>
        <v>24470</v>
      </c>
      <c r="F17" s="38">
        <f>Resumen_por_Producto!$D$4+800</f>
        <v>24270</v>
      </c>
      <c r="G17" s="38">
        <f>Resumen_por_Producto!$D$4+600</f>
        <v>24070</v>
      </c>
      <c r="H17" s="38">
        <f>Resumen_por_Producto!$D$4+400</f>
        <v>23870</v>
      </c>
      <c r="I17" s="38">
        <f>Resumen_por_Producto!$D$4+200</f>
        <v>23670</v>
      </c>
      <c r="J17" s="39">
        <f t="shared" si="0"/>
        <v>4.0866366979975477E-2</v>
      </c>
      <c r="K17" s="39">
        <f t="shared" si="1"/>
        <v>3.2962505150391432E-2</v>
      </c>
      <c r="L17" s="39">
        <f t="shared" si="2"/>
        <v>2.4927295388450354E-2</v>
      </c>
      <c r="M17" s="39">
        <f t="shared" si="3"/>
        <v>1.6757436112274822E-2</v>
      </c>
      <c r="N17" s="39">
        <f t="shared" si="4"/>
        <v>8.4495141529362053E-3</v>
      </c>
    </row>
    <row r="18" spans="1:14" x14ac:dyDescent="0.2">
      <c r="A18" t="str">
        <f>Precios_Para_Comunicar!B15</f>
        <v>Aldea Classic Fit T-Shirt</v>
      </c>
      <c r="B18" t="str">
        <f>Precios_Para_Comunicar!C15</f>
        <v>Blanco</v>
      </c>
      <c r="C18" t="str">
        <f>Precios_Para_Comunicar!D15</f>
        <v>tee_classic</v>
      </c>
      <c r="D18" s="38">
        <f>Precios_Para_Comunicar!E15</f>
        <v>18600</v>
      </c>
      <c r="E18" s="38">
        <f>Resumen_por_Producto!$D$5+1000</f>
        <v>23670</v>
      </c>
      <c r="F18" s="38">
        <f>Resumen_por_Producto!$D$5+800</f>
        <v>23470</v>
      </c>
      <c r="G18" s="38">
        <f>Resumen_por_Producto!$D$5+600</f>
        <v>23270</v>
      </c>
      <c r="H18" s="38">
        <f>Resumen_por_Producto!$D$5+400</f>
        <v>23070</v>
      </c>
      <c r="I18" s="38">
        <f>Resumen_por_Producto!$D$5+200</f>
        <v>22870</v>
      </c>
      <c r="J18" s="39">
        <f t="shared" si="0"/>
        <v>0.21419518377693283</v>
      </c>
      <c r="K18" s="39">
        <f t="shared" si="1"/>
        <v>0.20749893481039625</v>
      </c>
      <c r="L18" s="39">
        <f t="shared" si="2"/>
        <v>0.20068758057584873</v>
      </c>
      <c r="M18" s="39">
        <f t="shared" si="3"/>
        <v>0.19375812743823148</v>
      </c>
      <c r="N18" s="39">
        <f t="shared" si="4"/>
        <v>0.18670747704416266</v>
      </c>
    </row>
    <row r="19" spans="1:14" x14ac:dyDescent="0.2">
      <c r="A19" t="str">
        <f>Precios_Para_Comunicar!B16</f>
        <v>Aldea Classic Fit T-Shirt</v>
      </c>
      <c r="B19" t="str">
        <f>Precios_Para_Comunicar!C16</f>
        <v>Negro</v>
      </c>
      <c r="C19" t="str">
        <f>Precios_Para_Comunicar!D16</f>
        <v>tee_classic</v>
      </c>
      <c r="D19" s="38">
        <f>Precios_Para_Comunicar!E16</f>
        <v>22670</v>
      </c>
      <c r="E19" s="38">
        <f>Resumen_por_Producto!$D$5+1000</f>
        <v>23670</v>
      </c>
      <c r="F19" s="38">
        <f>Resumen_por_Producto!$D$5+800</f>
        <v>23470</v>
      </c>
      <c r="G19" s="38">
        <f>Resumen_por_Producto!$D$5+600</f>
        <v>23270</v>
      </c>
      <c r="H19" s="38">
        <f>Resumen_por_Producto!$D$5+400</f>
        <v>23070</v>
      </c>
      <c r="I19" s="38">
        <f>Resumen_por_Producto!$D$5+200</f>
        <v>22870</v>
      </c>
      <c r="J19" s="39">
        <f t="shared" si="0"/>
        <v>4.2247570764681032E-2</v>
      </c>
      <c r="K19" s="39">
        <f t="shared" si="1"/>
        <v>3.4086067319982954E-2</v>
      </c>
      <c r="L19" s="39">
        <f t="shared" si="2"/>
        <v>2.578427159432746E-2</v>
      </c>
      <c r="M19" s="39">
        <f t="shared" si="3"/>
        <v>1.7338534893801473E-2</v>
      </c>
      <c r="N19" s="39">
        <f t="shared" si="4"/>
        <v>8.7450808919982501E-3</v>
      </c>
    </row>
    <row r="20" spans="1:14" x14ac:dyDescent="0.2">
      <c r="A20" t="str">
        <f>Precios_Para_Comunicar!B17</f>
        <v>Remera Clásica Mujer</v>
      </c>
      <c r="B20" t="str">
        <f>Precios_Para_Comunicar!C17</f>
        <v>Blanca</v>
      </c>
      <c r="C20" t="str">
        <f>Precios_Para_Comunicar!D17</f>
        <v>tee_classic</v>
      </c>
      <c r="D20" s="38">
        <f>Precios_Para_Comunicar!E17</f>
        <v>18600</v>
      </c>
      <c r="E20" s="38">
        <f>Resumen_por_Producto!$D$6+1000</f>
        <v>23670</v>
      </c>
      <c r="F20" s="38">
        <f>Resumen_por_Producto!$D$6+800</f>
        <v>23470</v>
      </c>
      <c r="G20" s="38">
        <f>Resumen_por_Producto!$D$6+600</f>
        <v>23270</v>
      </c>
      <c r="H20" s="38">
        <f>Resumen_por_Producto!$D$6+400</f>
        <v>23070</v>
      </c>
      <c r="I20" s="38">
        <f>Resumen_por_Producto!$D$6+200</f>
        <v>22870</v>
      </c>
      <c r="J20" s="39">
        <f t="shared" si="0"/>
        <v>0.21419518377693283</v>
      </c>
      <c r="K20" s="39">
        <f t="shared" si="1"/>
        <v>0.20749893481039625</v>
      </c>
      <c r="L20" s="39">
        <f t="shared" si="2"/>
        <v>0.20068758057584873</v>
      </c>
      <c r="M20" s="39">
        <f t="shared" si="3"/>
        <v>0.19375812743823148</v>
      </c>
      <c r="N20" s="39">
        <f t="shared" si="4"/>
        <v>0.18670747704416266</v>
      </c>
    </row>
    <row r="21" spans="1:14" x14ac:dyDescent="0.2">
      <c r="A21" t="str">
        <f>Precios_Para_Comunicar!B18</f>
        <v>Remera Clásica Mujer</v>
      </c>
      <c r="B21" t="str">
        <f>Precios_Para_Comunicar!C18</f>
        <v>Negra</v>
      </c>
      <c r="C21" t="str">
        <f>Precios_Para_Comunicar!D18</f>
        <v>tee_classic</v>
      </c>
      <c r="D21" s="38">
        <f>Precios_Para_Comunicar!E18</f>
        <v>22670</v>
      </c>
      <c r="E21" s="38">
        <f>Resumen_por_Producto!$D$6+1000</f>
        <v>23670</v>
      </c>
      <c r="F21" s="38">
        <f>Resumen_por_Producto!$D$6+800</f>
        <v>23470</v>
      </c>
      <c r="G21" s="38">
        <f>Resumen_por_Producto!$D$6+600</f>
        <v>23270</v>
      </c>
      <c r="H21" s="38">
        <f>Resumen_por_Producto!$D$6+400</f>
        <v>23070</v>
      </c>
      <c r="I21" s="38">
        <f>Resumen_por_Producto!$D$6+200</f>
        <v>22870</v>
      </c>
      <c r="J21" s="39">
        <f t="shared" si="0"/>
        <v>4.2247570764681032E-2</v>
      </c>
      <c r="K21" s="39">
        <f t="shared" si="1"/>
        <v>3.4086067319982954E-2</v>
      </c>
      <c r="L21" s="39">
        <f t="shared" si="2"/>
        <v>2.578427159432746E-2</v>
      </c>
      <c r="M21" s="39">
        <f t="shared" si="3"/>
        <v>1.7338534893801473E-2</v>
      </c>
      <c r="N21" s="39">
        <f t="shared" si="4"/>
        <v>8.7450808919982501E-3</v>
      </c>
    </row>
    <row r="22" spans="1:14" x14ac:dyDescent="0.2">
      <c r="A22" t="str">
        <f>Precios_Para_Comunicar!B19</f>
        <v>Remera Crop Mujer</v>
      </c>
      <c r="B22" t="str">
        <f>Precios_Para_Comunicar!C19</f>
        <v>Amarillo</v>
      </c>
      <c r="C22" t="str">
        <f>Precios_Para_Comunicar!D19</f>
        <v>crop</v>
      </c>
      <c r="D22" s="38">
        <f>Precios_Para_Comunicar!E19</f>
        <v>18100</v>
      </c>
      <c r="E22" s="38">
        <f>Resumen_por_Producto!$D$7+1000</f>
        <v>19100</v>
      </c>
      <c r="F22" s="38">
        <f>Resumen_por_Producto!$D$7+800</f>
        <v>18900</v>
      </c>
      <c r="G22" s="38">
        <f>Resumen_por_Producto!$D$7+600</f>
        <v>18700</v>
      </c>
      <c r="H22" s="38">
        <f>Resumen_por_Producto!$D$7+400</f>
        <v>18500</v>
      </c>
      <c r="I22" s="38">
        <f>Resumen_por_Producto!$D$7+200</f>
        <v>18300</v>
      </c>
      <c r="J22" s="39">
        <f t="shared" si="0"/>
        <v>5.2356020942408377E-2</v>
      </c>
      <c r="K22" s="39">
        <f t="shared" si="1"/>
        <v>4.2328042328042326E-2</v>
      </c>
      <c r="L22" s="39">
        <f t="shared" si="2"/>
        <v>3.2085561497326207E-2</v>
      </c>
      <c r="M22" s="39">
        <f t="shared" si="3"/>
        <v>2.1621621621621623E-2</v>
      </c>
      <c r="N22" s="39">
        <f t="shared" si="4"/>
        <v>1.092896174863388E-2</v>
      </c>
    </row>
    <row r="23" spans="1:14" x14ac:dyDescent="0.2">
      <c r="A23" t="str">
        <f>Precios_Para_Comunicar!B20</f>
        <v>Remera Crop Mujer</v>
      </c>
      <c r="B23" t="str">
        <f>Precios_Para_Comunicar!C20</f>
        <v>Chocolate</v>
      </c>
      <c r="C23" t="str">
        <f>Precios_Para_Comunicar!D20</f>
        <v>crop</v>
      </c>
      <c r="D23" s="38">
        <f>Precios_Para_Comunicar!E20</f>
        <v>18100</v>
      </c>
      <c r="E23" s="38">
        <f>Resumen_por_Producto!$D$7+1000</f>
        <v>19100</v>
      </c>
      <c r="F23" s="38">
        <f>Resumen_por_Producto!$D$7+800</f>
        <v>18900</v>
      </c>
      <c r="G23" s="38">
        <f>Resumen_por_Producto!$D$7+600</f>
        <v>18700</v>
      </c>
      <c r="H23" s="38">
        <f>Resumen_por_Producto!$D$7+400</f>
        <v>18500</v>
      </c>
      <c r="I23" s="38">
        <f>Resumen_por_Producto!$D$7+200</f>
        <v>18300</v>
      </c>
      <c r="J23" s="39">
        <f t="shared" si="0"/>
        <v>5.2356020942408377E-2</v>
      </c>
      <c r="K23" s="39">
        <f t="shared" si="1"/>
        <v>4.2328042328042326E-2</v>
      </c>
      <c r="L23" s="39">
        <f t="shared" si="2"/>
        <v>3.2085561497326207E-2</v>
      </c>
      <c r="M23" s="39">
        <f t="shared" si="3"/>
        <v>2.1621621621621623E-2</v>
      </c>
      <c r="N23" s="39">
        <f t="shared" si="4"/>
        <v>1.092896174863388E-2</v>
      </c>
    </row>
    <row r="24" spans="1:14" x14ac:dyDescent="0.2">
      <c r="A24" t="str">
        <f>Precios_Para_Comunicar!B21</f>
        <v>Remera Crop Mujer</v>
      </c>
      <c r="B24" t="str">
        <f>Precios_Para_Comunicar!C21</f>
        <v>Gris Melange</v>
      </c>
      <c r="C24" t="str">
        <f>Precios_Para_Comunicar!D21</f>
        <v>crop</v>
      </c>
      <c r="D24" s="38">
        <f>Precios_Para_Comunicar!E21</f>
        <v>18100</v>
      </c>
      <c r="E24" s="38">
        <f>Resumen_por_Producto!$D$7+1000</f>
        <v>19100</v>
      </c>
      <c r="F24" s="38">
        <f>Resumen_por_Producto!$D$7+800</f>
        <v>18900</v>
      </c>
      <c r="G24" s="38">
        <f>Resumen_por_Producto!$D$7+600</f>
        <v>18700</v>
      </c>
      <c r="H24" s="38">
        <f>Resumen_por_Producto!$D$7+400</f>
        <v>18500</v>
      </c>
      <c r="I24" s="38">
        <f>Resumen_por_Producto!$D$7+200</f>
        <v>18300</v>
      </c>
      <c r="J24" s="39">
        <f t="shared" si="0"/>
        <v>5.2356020942408377E-2</v>
      </c>
      <c r="K24" s="39">
        <f t="shared" si="1"/>
        <v>4.2328042328042326E-2</v>
      </c>
      <c r="L24" s="39">
        <f t="shared" si="2"/>
        <v>3.2085561497326207E-2</v>
      </c>
      <c r="M24" s="39">
        <f t="shared" si="3"/>
        <v>2.1621621621621623E-2</v>
      </c>
      <c r="N24" s="39">
        <f t="shared" si="4"/>
        <v>1.092896174863388E-2</v>
      </c>
    </row>
    <row r="25" spans="1:14" x14ac:dyDescent="0.2">
      <c r="A25" t="str">
        <f>Precios_Para_Comunicar!B22</f>
        <v>Remera Crop Mujer</v>
      </c>
      <c r="B25" t="str">
        <f>Precios_Para_Comunicar!C22</f>
        <v>Negra</v>
      </c>
      <c r="C25" t="str">
        <f>Precios_Para_Comunicar!D22</f>
        <v>crop</v>
      </c>
      <c r="D25" s="38">
        <f>Precios_Para_Comunicar!E22</f>
        <v>18100</v>
      </c>
      <c r="E25" s="38">
        <f>Resumen_por_Producto!$D$7+1000</f>
        <v>19100</v>
      </c>
      <c r="F25" s="38">
        <f>Resumen_por_Producto!$D$7+800</f>
        <v>18900</v>
      </c>
      <c r="G25" s="38">
        <f>Resumen_por_Producto!$D$7+600</f>
        <v>18700</v>
      </c>
      <c r="H25" s="38">
        <f>Resumen_por_Producto!$D$7+400</f>
        <v>18500</v>
      </c>
      <c r="I25" s="38">
        <f>Resumen_por_Producto!$D$7+200</f>
        <v>18300</v>
      </c>
      <c r="J25" s="39">
        <f t="shared" si="0"/>
        <v>5.2356020942408377E-2</v>
      </c>
      <c r="K25" s="39">
        <f t="shared" si="1"/>
        <v>4.2328042328042326E-2</v>
      </c>
      <c r="L25" s="39">
        <f t="shared" si="2"/>
        <v>3.2085561497326207E-2</v>
      </c>
      <c r="M25" s="39">
        <f t="shared" si="3"/>
        <v>2.1621621621621623E-2</v>
      </c>
      <c r="N25" s="39">
        <f t="shared" si="4"/>
        <v>1.092896174863388E-2</v>
      </c>
    </row>
    <row r="26" spans="1:14" x14ac:dyDescent="0.2">
      <c r="A26" t="str">
        <f>Precios_Para_Comunicar!B23</f>
        <v>Musculosa Bali</v>
      </c>
      <c r="B26" t="str">
        <f>Precios_Para_Comunicar!C23</f>
        <v>Blanca</v>
      </c>
      <c r="C26" t="str">
        <f>Precios_Para_Comunicar!D23</f>
        <v>tank</v>
      </c>
      <c r="D26" s="38">
        <f>Precios_Para_Comunicar!E23</f>
        <v>18100</v>
      </c>
      <c r="E26" s="38">
        <f>Resumen_por_Producto!$D$8+1000</f>
        <v>19100</v>
      </c>
      <c r="F26" s="38">
        <f>Resumen_por_Producto!$D$8+800</f>
        <v>18900</v>
      </c>
      <c r="G26" s="38">
        <f>Resumen_por_Producto!$D$8+600</f>
        <v>18700</v>
      </c>
      <c r="H26" s="38">
        <f>Resumen_por_Producto!$D$8+400</f>
        <v>18500</v>
      </c>
      <c r="I26" s="38">
        <f>Resumen_por_Producto!$D$8+200</f>
        <v>18300</v>
      </c>
      <c r="J26" s="39">
        <f t="shared" si="0"/>
        <v>5.2356020942408377E-2</v>
      </c>
      <c r="K26" s="39">
        <f t="shared" si="1"/>
        <v>4.2328042328042326E-2</v>
      </c>
      <c r="L26" s="39">
        <f t="shared" si="2"/>
        <v>3.2085561497326207E-2</v>
      </c>
      <c r="M26" s="39">
        <f t="shared" si="3"/>
        <v>2.1621621621621623E-2</v>
      </c>
      <c r="N26" s="39">
        <f t="shared" si="4"/>
        <v>1.092896174863388E-2</v>
      </c>
    </row>
    <row r="27" spans="1:14" x14ac:dyDescent="0.2">
      <c r="A27" t="str">
        <f>Precios_Para_Comunicar!B24</f>
        <v>Musculosa Bali</v>
      </c>
      <c r="B27" t="str">
        <f>Precios_Para_Comunicar!C24</f>
        <v>Gris</v>
      </c>
      <c r="C27" t="str">
        <f>Precios_Para_Comunicar!D24</f>
        <v>tank</v>
      </c>
      <c r="D27" s="38">
        <f>Precios_Para_Comunicar!E24</f>
        <v>18100</v>
      </c>
      <c r="E27" s="38">
        <f>Resumen_por_Producto!$D$8+1000</f>
        <v>19100</v>
      </c>
      <c r="F27" s="38">
        <f>Resumen_por_Producto!$D$8+800</f>
        <v>18900</v>
      </c>
      <c r="G27" s="38">
        <f>Resumen_por_Producto!$D$8+600</f>
        <v>18700</v>
      </c>
      <c r="H27" s="38">
        <f>Resumen_por_Producto!$D$8+400</f>
        <v>18500</v>
      </c>
      <c r="I27" s="38">
        <f>Resumen_por_Producto!$D$8+200</f>
        <v>18300</v>
      </c>
      <c r="J27" s="39">
        <f t="shared" si="0"/>
        <v>5.2356020942408377E-2</v>
      </c>
      <c r="K27" s="39">
        <f t="shared" si="1"/>
        <v>4.2328042328042326E-2</v>
      </c>
      <c r="L27" s="39">
        <f t="shared" si="2"/>
        <v>3.2085561497326207E-2</v>
      </c>
      <c r="M27" s="39">
        <f t="shared" si="3"/>
        <v>2.1621621621621623E-2</v>
      </c>
      <c r="N27" s="39">
        <f t="shared" si="4"/>
        <v>1.092896174863388E-2</v>
      </c>
    </row>
    <row r="28" spans="1:14" x14ac:dyDescent="0.2">
      <c r="A28" t="str">
        <f>Precios_Para_Comunicar!B25</f>
        <v>Musculosa Bali</v>
      </c>
      <c r="B28" t="str">
        <f>Precios_Para_Comunicar!C25</f>
        <v>Negra</v>
      </c>
      <c r="C28" t="str">
        <f>Precios_Para_Comunicar!D25</f>
        <v>tank</v>
      </c>
      <c r="D28" s="38">
        <f>Precios_Para_Comunicar!E25</f>
        <v>18100</v>
      </c>
      <c r="E28" s="38">
        <f>Resumen_por_Producto!$D$8+1000</f>
        <v>19100</v>
      </c>
      <c r="F28" s="38">
        <f>Resumen_por_Producto!$D$8+800</f>
        <v>18900</v>
      </c>
      <c r="G28" s="38">
        <f>Resumen_por_Producto!$D$8+600</f>
        <v>18700</v>
      </c>
      <c r="H28" s="38">
        <f>Resumen_por_Producto!$D$8+400</f>
        <v>18500</v>
      </c>
      <c r="I28" s="38">
        <f>Resumen_por_Producto!$D$8+200</f>
        <v>18300</v>
      </c>
      <c r="J28" s="39">
        <f t="shared" si="0"/>
        <v>5.2356020942408377E-2</v>
      </c>
      <c r="K28" s="39">
        <f t="shared" si="1"/>
        <v>4.2328042328042326E-2</v>
      </c>
      <c r="L28" s="39">
        <f t="shared" si="2"/>
        <v>3.2085561497326207E-2</v>
      </c>
      <c r="M28" s="39">
        <f t="shared" si="3"/>
        <v>2.1621621621621623E-2</v>
      </c>
      <c r="N28" s="39">
        <f t="shared" si="4"/>
        <v>1.092896174863388E-2</v>
      </c>
    </row>
  </sheetData>
  <mergeCells count="2">
    <mergeCell ref="A1:N1"/>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0"/>
  <sheetViews>
    <sheetView workbookViewId="0">
      <selection activeCell="N2" sqref="N2"/>
    </sheetView>
  </sheetViews>
  <sheetFormatPr baseColWidth="10" defaultColWidth="14.5" defaultRowHeight="15" customHeight="1" x14ac:dyDescent="0.2"/>
  <cols>
    <col min="1" max="1" width="16.33203125" customWidth="1"/>
    <col min="2" max="2" width="18.5" customWidth="1"/>
    <col min="3" max="3" width="10.83203125" customWidth="1"/>
    <col min="4" max="4" width="4.83203125" customWidth="1"/>
    <col min="5" max="5" width="10.33203125" customWidth="1"/>
    <col min="6" max="8" width="7.6640625" customWidth="1"/>
    <col min="9" max="9" width="10.33203125" customWidth="1"/>
    <col min="10" max="10" width="11.33203125" customWidth="1"/>
    <col min="11" max="11" width="10.6640625" customWidth="1"/>
    <col min="12" max="12" width="11.83203125" customWidth="1"/>
    <col min="13" max="13" width="10.6640625" customWidth="1"/>
    <col min="14" max="14" width="8.83203125" customWidth="1"/>
    <col min="15" max="15" width="9.1640625" customWidth="1"/>
    <col min="16" max="16" width="8.33203125" customWidth="1"/>
    <col min="17" max="17" width="8.6640625" customWidth="1"/>
    <col min="18" max="18" width="7.6640625" customWidth="1"/>
    <col min="19" max="19" width="6" customWidth="1"/>
    <col min="20" max="20" width="6.83203125" customWidth="1"/>
    <col min="21" max="21" width="7.1640625" customWidth="1"/>
    <col min="22" max="23" width="6.6640625" customWidth="1"/>
  </cols>
  <sheetData>
    <row r="1" spans="1:23" x14ac:dyDescent="0.2">
      <c r="A1" s="1" t="s">
        <v>0</v>
      </c>
      <c r="B1" s="1" t="s">
        <v>1</v>
      </c>
      <c r="C1" s="1" t="s">
        <v>2</v>
      </c>
      <c r="D1" s="1" t="s">
        <v>41</v>
      </c>
      <c r="E1" s="1" t="s">
        <v>3</v>
      </c>
      <c r="F1" s="1" t="s">
        <v>4</v>
      </c>
      <c r="G1" s="1" t="s">
        <v>5</v>
      </c>
      <c r="H1" s="1" t="s">
        <v>6</v>
      </c>
      <c r="I1" s="1" t="s">
        <v>7</v>
      </c>
      <c r="J1" s="1" t="s">
        <v>8</v>
      </c>
      <c r="K1" s="1" t="s">
        <v>9</v>
      </c>
      <c r="L1" s="1" t="s">
        <v>10</v>
      </c>
      <c r="M1" s="1" t="s">
        <v>11</v>
      </c>
      <c r="N1" s="1" t="s">
        <v>42</v>
      </c>
      <c r="O1" s="1" t="s">
        <v>43</v>
      </c>
      <c r="P1" s="1" t="s">
        <v>44</v>
      </c>
      <c r="Q1" s="1" t="s">
        <v>45</v>
      </c>
      <c r="R1" s="1" t="s">
        <v>46</v>
      </c>
      <c r="S1" s="1" t="s">
        <v>47</v>
      </c>
      <c r="T1" s="1" t="s">
        <v>48</v>
      </c>
      <c r="U1" s="1" t="s">
        <v>49</v>
      </c>
      <c r="V1" s="1" t="s">
        <v>50</v>
      </c>
      <c r="W1" s="1" t="s">
        <v>51</v>
      </c>
    </row>
    <row r="2" spans="1:23" x14ac:dyDescent="0.2">
      <c r="A2" s="2" t="s">
        <v>52</v>
      </c>
      <c r="B2" s="2" t="s">
        <v>17</v>
      </c>
      <c r="C2" s="2" t="s">
        <v>18</v>
      </c>
      <c r="D2" s="2" t="s">
        <v>53</v>
      </c>
      <c r="E2" s="2" t="s">
        <v>19</v>
      </c>
      <c r="F2" s="3">
        <f>'Precios Tab Dreamfull-sheets'!$G$2</f>
        <v>24100</v>
      </c>
      <c r="G2" s="3">
        <v>43000</v>
      </c>
      <c r="H2" s="3">
        <v>32200</v>
      </c>
      <c r="I2" s="3">
        <v>32200</v>
      </c>
      <c r="J2" s="3">
        <v>31200</v>
      </c>
      <c r="K2" s="3">
        <v>30200</v>
      </c>
      <c r="L2" s="3">
        <v>29200</v>
      </c>
      <c r="M2" s="3">
        <v>28200</v>
      </c>
      <c r="N2" s="5">
        <f>I2-$F2</f>
        <v>8100</v>
      </c>
      <c r="O2" s="4">
        <f>N2/I2</f>
        <v>0.25155279503105588</v>
      </c>
      <c r="P2" s="5">
        <f>J2-$F2</f>
        <v>7100</v>
      </c>
      <c r="Q2" s="4">
        <f>P2/J2</f>
        <v>0.22756410256410256</v>
      </c>
      <c r="R2" s="5">
        <f>K2-$F2</f>
        <v>6100</v>
      </c>
      <c r="S2" s="4">
        <f>R2/K2</f>
        <v>0.20198675496688742</v>
      </c>
      <c r="T2" s="5">
        <f>L2-$F2</f>
        <v>5100</v>
      </c>
      <c r="U2" s="4">
        <f>T2/L2</f>
        <v>0.17465753424657535</v>
      </c>
      <c r="V2" s="5">
        <f>M2-$F2</f>
        <v>4100</v>
      </c>
      <c r="W2" s="4">
        <f>V2/M2</f>
        <v>0.1453900709219858</v>
      </c>
    </row>
    <row r="3" spans="1:23" x14ac:dyDescent="0.2">
      <c r="A3" s="2" t="s">
        <v>52</v>
      </c>
      <c r="B3" s="2" t="s">
        <v>17</v>
      </c>
      <c r="C3" s="2" t="s">
        <v>18</v>
      </c>
      <c r="D3" s="2" t="s">
        <v>54</v>
      </c>
      <c r="E3" s="2" t="s">
        <v>19</v>
      </c>
      <c r="F3" s="3">
        <f>'Precios Tab Dreamfull-sheets'!$G$2</f>
        <v>24100</v>
      </c>
      <c r="G3" s="3">
        <v>43000</v>
      </c>
      <c r="H3" s="3">
        <v>32200</v>
      </c>
      <c r="I3" s="3">
        <v>32200</v>
      </c>
      <c r="J3" s="3">
        <v>31200</v>
      </c>
      <c r="K3" s="3">
        <v>30200</v>
      </c>
      <c r="L3" s="3">
        <v>29200</v>
      </c>
      <c r="M3" s="3">
        <v>28200</v>
      </c>
      <c r="N3" s="5">
        <f t="shared" ref="N3:N66" si="0">I3-$F3</f>
        <v>8100</v>
      </c>
      <c r="O3" s="4">
        <f t="shared" ref="O3:O66" si="1">N3/I3</f>
        <v>0.25155279503105588</v>
      </c>
      <c r="P3" s="5">
        <f t="shared" ref="P3:P66" si="2">J3-$F3</f>
        <v>7100</v>
      </c>
      <c r="Q3" s="4">
        <f t="shared" ref="Q3:Q66" si="3">P3/J3</f>
        <v>0.22756410256410256</v>
      </c>
      <c r="R3" s="5">
        <f t="shared" ref="R3:R66" si="4">K3-$F3</f>
        <v>6100</v>
      </c>
      <c r="S3" s="4">
        <f t="shared" ref="S3:S66" si="5">R3/K3</f>
        <v>0.20198675496688742</v>
      </c>
      <c r="T3" s="5">
        <f t="shared" ref="T3:T66" si="6">L3-$F3</f>
        <v>5100</v>
      </c>
      <c r="U3" s="4">
        <f t="shared" ref="U3:U66" si="7">T3/L3</f>
        <v>0.17465753424657535</v>
      </c>
      <c r="V3" s="5">
        <f t="shared" ref="V3:V66" si="8">M3-$F3</f>
        <v>4100</v>
      </c>
      <c r="W3" s="4">
        <f t="shared" ref="W3:W66" si="9">V3/M3</f>
        <v>0.1453900709219858</v>
      </c>
    </row>
    <row r="4" spans="1:23" x14ac:dyDescent="0.2">
      <c r="A4" s="2" t="s">
        <v>52</v>
      </c>
      <c r="B4" s="2" t="s">
        <v>17</v>
      </c>
      <c r="C4" s="2" t="s">
        <v>18</v>
      </c>
      <c r="D4" s="2" t="s">
        <v>55</v>
      </c>
      <c r="E4" s="2" t="s">
        <v>19</v>
      </c>
      <c r="F4" s="3">
        <f>'Precios Tab Dreamfull-sheets'!$G$2</f>
        <v>24100</v>
      </c>
      <c r="G4" s="3">
        <v>43000</v>
      </c>
      <c r="H4" s="3">
        <v>32200</v>
      </c>
      <c r="I4" s="3">
        <v>32200</v>
      </c>
      <c r="J4" s="3">
        <v>31200</v>
      </c>
      <c r="K4" s="3">
        <v>30200</v>
      </c>
      <c r="L4" s="3">
        <v>29200</v>
      </c>
      <c r="M4" s="3">
        <v>28200</v>
      </c>
      <c r="N4" s="5">
        <f t="shared" si="0"/>
        <v>8100</v>
      </c>
      <c r="O4" s="4">
        <f t="shared" si="1"/>
        <v>0.25155279503105588</v>
      </c>
      <c r="P4" s="5">
        <f t="shared" si="2"/>
        <v>7100</v>
      </c>
      <c r="Q4" s="4">
        <f t="shared" si="3"/>
        <v>0.22756410256410256</v>
      </c>
      <c r="R4" s="5">
        <f t="shared" si="4"/>
        <v>6100</v>
      </c>
      <c r="S4" s="4">
        <f t="shared" si="5"/>
        <v>0.20198675496688742</v>
      </c>
      <c r="T4" s="5">
        <f t="shared" si="6"/>
        <v>5100</v>
      </c>
      <c r="U4" s="4">
        <f t="shared" si="7"/>
        <v>0.17465753424657535</v>
      </c>
      <c r="V4" s="5">
        <f t="shared" si="8"/>
        <v>4100</v>
      </c>
      <c r="W4" s="4">
        <f t="shared" si="9"/>
        <v>0.1453900709219858</v>
      </c>
    </row>
    <row r="5" spans="1:23" x14ac:dyDescent="0.2">
      <c r="A5" s="2" t="s">
        <v>52</v>
      </c>
      <c r="B5" s="2" t="s">
        <v>17</v>
      </c>
      <c r="C5" s="2" t="s">
        <v>18</v>
      </c>
      <c r="D5" s="2" t="s">
        <v>56</v>
      </c>
      <c r="E5" s="2" t="s">
        <v>19</v>
      </c>
      <c r="F5" s="3">
        <f>'Precios Tab Dreamfull-sheets'!$G$2</f>
        <v>24100</v>
      </c>
      <c r="G5" s="3">
        <v>43000</v>
      </c>
      <c r="H5" s="3">
        <v>32200</v>
      </c>
      <c r="I5" s="3">
        <v>32200</v>
      </c>
      <c r="J5" s="3">
        <v>31200</v>
      </c>
      <c r="K5" s="3">
        <v>30200</v>
      </c>
      <c r="L5" s="3">
        <v>29200</v>
      </c>
      <c r="M5" s="3">
        <v>28200</v>
      </c>
      <c r="N5" s="5">
        <f t="shared" si="0"/>
        <v>8100</v>
      </c>
      <c r="O5" s="4">
        <f t="shared" si="1"/>
        <v>0.25155279503105588</v>
      </c>
      <c r="P5" s="5">
        <f t="shared" si="2"/>
        <v>7100</v>
      </c>
      <c r="Q5" s="4">
        <f t="shared" si="3"/>
        <v>0.22756410256410256</v>
      </c>
      <c r="R5" s="5">
        <f t="shared" si="4"/>
        <v>6100</v>
      </c>
      <c r="S5" s="4">
        <f t="shared" si="5"/>
        <v>0.20198675496688742</v>
      </c>
      <c r="T5" s="5">
        <f t="shared" si="6"/>
        <v>5100</v>
      </c>
      <c r="U5" s="4">
        <f t="shared" si="7"/>
        <v>0.17465753424657535</v>
      </c>
      <c r="V5" s="5">
        <f t="shared" si="8"/>
        <v>4100</v>
      </c>
      <c r="W5" s="4">
        <f t="shared" si="9"/>
        <v>0.1453900709219858</v>
      </c>
    </row>
    <row r="6" spans="1:23" x14ac:dyDescent="0.2">
      <c r="A6" s="2" t="s">
        <v>52</v>
      </c>
      <c r="B6" s="2" t="s">
        <v>17</v>
      </c>
      <c r="C6" s="2" t="s">
        <v>18</v>
      </c>
      <c r="D6" s="2" t="s">
        <v>57</v>
      </c>
      <c r="E6" s="2" t="s">
        <v>19</v>
      </c>
      <c r="F6" s="3">
        <f>'Precios Tab Dreamfull-sheets'!$G$2</f>
        <v>24100</v>
      </c>
      <c r="G6" s="3">
        <v>43000</v>
      </c>
      <c r="H6" s="3">
        <v>32200</v>
      </c>
      <c r="I6" s="3">
        <v>32200</v>
      </c>
      <c r="J6" s="3">
        <v>31200</v>
      </c>
      <c r="K6" s="3">
        <v>30200</v>
      </c>
      <c r="L6" s="3">
        <v>29200</v>
      </c>
      <c r="M6" s="3">
        <v>28200</v>
      </c>
      <c r="N6" s="5">
        <f t="shared" si="0"/>
        <v>8100</v>
      </c>
      <c r="O6" s="4">
        <f t="shared" si="1"/>
        <v>0.25155279503105588</v>
      </c>
      <c r="P6" s="5">
        <f t="shared" si="2"/>
        <v>7100</v>
      </c>
      <c r="Q6" s="4">
        <f t="shared" si="3"/>
        <v>0.22756410256410256</v>
      </c>
      <c r="R6" s="5">
        <f t="shared" si="4"/>
        <v>6100</v>
      </c>
      <c r="S6" s="4">
        <f t="shared" si="5"/>
        <v>0.20198675496688742</v>
      </c>
      <c r="T6" s="5">
        <f t="shared" si="6"/>
        <v>5100</v>
      </c>
      <c r="U6" s="4">
        <f t="shared" si="7"/>
        <v>0.17465753424657535</v>
      </c>
      <c r="V6" s="5">
        <f t="shared" si="8"/>
        <v>4100</v>
      </c>
      <c r="W6" s="4">
        <f t="shared" si="9"/>
        <v>0.1453900709219858</v>
      </c>
    </row>
    <row r="7" spans="1:23" x14ac:dyDescent="0.2">
      <c r="A7" s="2" t="s">
        <v>52</v>
      </c>
      <c r="B7" s="2" t="s">
        <v>17</v>
      </c>
      <c r="C7" s="2" t="s">
        <v>18</v>
      </c>
      <c r="D7" s="2" t="s">
        <v>58</v>
      </c>
      <c r="E7" s="2" t="s">
        <v>19</v>
      </c>
      <c r="F7" s="3">
        <f>'Precios Tab Dreamfull-sheets'!$G$2</f>
        <v>24100</v>
      </c>
      <c r="G7" s="3">
        <v>43000</v>
      </c>
      <c r="H7" s="3">
        <v>32200</v>
      </c>
      <c r="I7" s="3">
        <v>32200</v>
      </c>
      <c r="J7" s="3">
        <v>31200</v>
      </c>
      <c r="K7" s="3">
        <v>30200</v>
      </c>
      <c r="L7" s="3">
        <v>29200</v>
      </c>
      <c r="M7" s="3">
        <v>28200</v>
      </c>
      <c r="N7" s="5">
        <f t="shared" si="0"/>
        <v>8100</v>
      </c>
      <c r="O7" s="4">
        <f t="shared" si="1"/>
        <v>0.25155279503105588</v>
      </c>
      <c r="P7" s="5">
        <f t="shared" si="2"/>
        <v>7100</v>
      </c>
      <c r="Q7" s="4">
        <f t="shared" si="3"/>
        <v>0.22756410256410256</v>
      </c>
      <c r="R7" s="5">
        <f t="shared" si="4"/>
        <v>6100</v>
      </c>
      <c r="S7" s="4">
        <f t="shared" si="5"/>
        <v>0.20198675496688742</v>
      </c>
      <c r="T7" s="5">
        <f t="shared" si="6"/>
        <v>5100</v>
      </c>
      <c r="U7" s="4">
        <f t="shared" si="7"/>
        <v>0.17465753424657535</v>
      </c>
      <c r="V7" s="5">
        <f t="shared" si="8"/>
        <v>4100</v>
      </c>
      <c r="W7" s="4">
        <f t="shared" si="9"/>
        <v>0.1453900709219858</v>
      </c>
    </row>
    <row r="8" spans="1:23" x14ac:dyDescent="0.2">
      <c r="A8" s="2" t="s">
        <v>52</v>
      </c>
      <c r="B8" s="2" t="s">
        <v>17</v>
      </c>
      <c r="C8" s="2" t="s">
        <v>20</v>
      </c>
      <c r="D8" s="2" t="s">
        <v>53</v>
      </c>
      <c r="E8" s="2" t="s">
        <v>19</v>
      </c>
      <c r="F8" s="3">
        <f>'Precios Tab Dreamfull-sheets'!$G$3</f>
        <v>28170</v>
      </c>
      <c r="G8" s="3">
        <v>43000</v>
      </c>
      <c r="H8" s="3">
        <v>32200</v>
      </c>
      <c r="I8" s="3">
        <v>32200</v>
      </c>
      <c r="J8" s="3">
        <v>31200</v>
      </c>
      <c r="K8" s="3">
        <v>30200</v>
      </c>
      <c r="L8" s="3">
        <v>29200</v>
      </c>
      <c r="M8" s="3">
        <v>28200</v>
      </c>
      <c r="N8" s="5">
        <f t="shared" si="0"/>
        <v>4030</v>
      </c>
      <c r="O8" s="4">
        <f t="shared" si="1"/>
        <v>0.12515527950310559</v>
      </c>
      <c r="P8" s="5">
        <f t="shared" si="2"/>
        <v>3030</v>
      </c>
      <c r="Q8" s="4">
        <f t="shared" si="3"/>
        <v>9.7115384615384617E-2</v>
      </c>
      <c r="R8" s="5">
        <f t="shared" si="4"/>
        <v>2030</v>
      </c>
      <c r="S8" s="4">
        <f t="shared" si="5"/>
        <v>6.7218543046357618E-2</v>
      </c>
      <c r="T8" s="5">
        <f t="shared" si="6"/>
        <v>1030</v>
      </c>
      <c r="U8" s="4">
        <f t="shared" si="7"/>
        <v>3.5273972602739727E-2</v>
      </c>
      <c r="V8" s="5">
        <f t="shared" si="8"/>
        <v>30</v>
      </c>
      <c r="W8" s="4">
        <f t="shared" si="9"/>
        <v>1.0638297872340426E-3</v>
      </c>
    </row>
    <row r="9" spans="1:23" x14ac:dyDescent="0.2">
      <c r="A9" s="2" t="s">
        <v>52</v>
      </c>
      <c r="B9" s="2" t="s">
        <v>17</v>
      </c>
      <c r="C9" s="2" t="s">
        <v>20</v>
      </c>
      <c r="D9" s="2" t="s">
        <v>54</v>
      </c>
      <c r="E9" s="2" t="s">
        <v>19</v>
      </c>
      <c r="F9" s="3">
        <f>'Precios Tab Dreamfull-sheets'!$G$3</f>
        <v>28170</v>
      </c>
      <c r="G9" s="3">
        <v>43000</v>
      </c>
      <c r="H9" s="3">
        <v>32200</v>
      </c>
      <c r="I9" s="3">
        <v>32200</v>
      </c>
      <c r="J9" s="3">
        <v>31200</v>
      </c>
      <c r="K9" s="3">
        <v>30200</v>
      </c>
      <c r="L9" s="3">
        <v>29200</v>
      </c>
      <c r="M9" s="3">
        <v>28200</v>
      </c>
      <c r="N9" s="5">
        <f t="shared" si="0"/>
        <v>4030</v>
      </c>
      <c r="O9" s="4">
        <f t="shared" si="1"/>
        <v>0.12515527950310559</v>
      </c>
      <c r="P9" s="5">
        <f t="shared" si="2"/>
        <v>3030</v>
      </c>
      <c r="Q9" s="4">
        <f t="shared" si="3"/>
        <v>9.7115384615384617E-2</v>
      </c>
      <c r="R9" s="5">
        <f t="shared" si="4"/>
        <v>2030</v>
      </c>
      <c r="S9" s="4">
        <f t="shared" si="5"/>
        <v>6.7218543046357618E-2</v>
      </c>
      <c r="T9" s="5">
        <f t="shared" si="6"/>
        <v>1030</v>
      </c>
      <c r="U9" s="4">
        <f t="shared" si="7"/>
        <v>3.5273972602739727E-2</v>
      </c>
      <c r="V9" s="5">
        <f t="shared" si="8"/>
        <v>30</v>
      </c>
      <c r="W9" s="4">
        <f t="shared" si="9"/>
        <v>1.0638297872340426E-3</v>
      </c>
    </row>
    <row r="10" spans="1:23" x14ac:dyDescent="0.2">
      <c r="A10" s="2" t="s">
        <v>52</v>
      </c>
      <c r="B10" s="2" t="s">
        <v>17</v>
      </c>
      <c r="C10" s="2" t="s">
        <v>20</v>
      </c>
      <c r="D10" s="2" t="s">
        <v>55</v>
      </c>
      <c r="E10" s="2" t="s">
        <v>19</v>
      </c>
      <c r="F10" s="3">
        <f>'Precios Tab Dreamfull-sheets'!$G$3</f>
        <v>28170</v>
      </c>
      <c r="G10" s="3">
        <v>43000</v>
      </c>
      <c r="H10" s="3">
        <v>32200</v>
      </c>
      <c r="I10" s="3">
        <v>32200</v>
      </c>
      <c r="J10" s="3">
        <v>31200</v>
      </c>
      <c r="K10" s="3">
        <v>30200</v>
      </c>
      <c r="L10" s="3">
        <v>29200</v>
      </c>
      <c r="M10" s="3">
        <v>28200</v>
      </c>
      <c r="N10" s="5">
        <f t="shared" si="0"/>
        <v>4030</v>
      </c>
      <c r="O10" s="4">
        <f t="shared" si="1"/>
        <v>0.12515527950310559</v>
      </c>
      <c r="P10" s="5">
        <f t="shared" si="2"/>
        <v>3030</v>
      </c>
      <c r="Q10" s="4">
        <f t="shared" si="3"/>
        <v>9.7115384615384617E-2</v>
      </c>
      <c r="R10" s="5">
        <f t="shared" si="4"/>
        <v>2030</v>
      </c>
      <c r="S10" s="4">
        <f t="shared" si="5"/>
        <v>6.7218543046357618E-2</v>
      </c>
      <c r="T10" s="5">
        <f t="shared" si="6"/>
        <v>1030</v>
      </c>
      <c r="U10" s="4">
        <f t="shared" si="7"/>
        <v>3.5273972602739727E-2</v>
      </c>
      <c r="V10" s="5">
        <f t="shared" si="8"/>
        <v>30</v>
      </c>
      <c r="W10" s="4">
        <f t="shared" si="9"/>
        <v>1.0638297872340426E-3</v>
      </c>
    </row>
    <row r="11" spans="1:23" x14ac:dyDescent="0.2">
      <c r="A11" s="2" t="s">
        <v>52</v>
      </c>
      <c r="B11" s="2" t="s">
        <v>17</v>
      </c>
      <c r="C11" s="2" t="s">
        <v>20</v>
      </c>
      <c r="D11" s="2" t="s">
        <v>56</v>
      </c>
      <c r="E11" s="2" t="s">
        <v>19</v>
      </c>
      <c r="F11" s="3">
        <f>'Precios Tab Dreamfull-sheets'!$G$3</f>
        <v>28170</v>
      </c>
      <c r="G11" s="3">
        <v>43000</v>
      </c>
      <c r="H11" s="3">
        <v>32200</v>
      </c>
      <c r="I11" s="3">
        <v>32200</v>
      </c>
      <c r="J11" s="3">
        <v>31200</v>
      </c>
      <c r="K11" s="3">
        <v>30200</v>
      </c>
      <c r="L11" s="3">
        <v>29200</v>
      </c>
      <c r="M11" s="3">
        <v>28200</v>
      </c>
      <c r="N11" s="5">
        <f t="shared" si="0"/>
        <v>4030</v>
      </c>
      <c r="O11" s="4">
        <f t="shared" si="1"/>
        <v>0.12515527950310559</v>
      </c>
      <c r="P11" s="5">
        <f t="shared" si="2"/>
        <v>3030</v>
      </c>
      <c r="Q11" s="4">
        <f t="shared" si="3"/>
        <v>9.7115384615384617E-2</v>
      </c>
      <c r="R11" s="5">
        <f t="shared" si="4"/>
        <v>2030</v>
      </c>
      <c r="S11" s="4">
        <f t="shared" si="5"/>
        <v>6.7218543046357618E-2</v>
      </c>
      <c r="T11" s="5">
        <f t="shared" si="6"/>
        <v>1030</v>
      </c>
      <c r="U11" s="4">
        <f t="shared" si="7"/>
        <v>3.5273972602739727E-2</v>
      </c>
      <c r="V11" s="5">
        <f t="shared" si="8"/>
        <v>30</v>
      </c>
      <c r="W11" s="4">
        <f t="shared" si="9"/>
        <v>1.0638297872340426E-3</v>
      </c>
    </row>
    <row r="12" spans="1:23" x14ac:dyDescent="0.2">
      <c r="A12" s="2" t="s">
        <v>52</v>
      </c>
      <c r="B12" s="2" t="s">
        <v>17</v>
      </c>
      <c r="C12" s="2" t="s">
        <v>20</v>
      </c>
      <c r="D12" s="2" t="s">
        <v>57</v>
      </c>
      <c r="E12" s="2" t="s">
        <v>19</v>
      </c>
      <c r="F12" s="3">
        <f>'Precios Tab Dreamfull-sheets'!$G$3</f>
        <v>28170</v>
      </c>
      <c r="G12" s="3">
        <v>43000</v>
      </c>
      <c r="H12" s="3">
        <v>32200</v>
      </c>
      <c r="I12" s="3">
        <v>32200</v>
      </c>
      <c r="J12" s="3">
        <v>31200</v>
      </c>
      <c r="K12" s="3">
        <v>30200</v>
      </c>
      <c r="L12" s="3">
        <v>29200</v>
      </c>
      <c r="M12" s="3">
        <v>28200</v>
      </c>
      <c r="N12" s="5">
        <f t="shared" si="0"/>
        <v>4030</v>
      </c>
      <c r="O12" s="4">
        <f t="shared" si="1"/>
        <v>0.12515527950310559</v>
      </c>
      <c r="P12" s="5">
        <f t="shared" si="2"/>
        <v>3030</v>
      </c>
      <c r="Q12" s="4">
        <f t="shared" si="3"/>
        <v>9.7115384615384617E-2</v>
      </c>
      <c r="R12" s="5">
        <f t="shared" si="4"/>
        <v>2030</v>
      </c>
      <c r="S12" s="4">
        <f t="shared" si="5"/>
        <v>6.7218543046357618E-2</v>
      </c>
      <c r="T12" s="5">
        <f t="shared" si="6"/>
        <v>1030</v>
      </c>
      <c r="U12" s="4">
        <f t="shared" si="7"/>
        <v>3.5273972602739727E-2</v>
      </c>
      <c r="V12" s="5">
        <f t="shared" si="8"/>
        <v>30</v>
      </c>
      <c r="W12" s="4">
        <f t="shared" si="9"/>
        <v>1.0638297872340426E-3</v>
      </c>
    </row>
    <row r="13" spans="1:23" x14ac:dyDescent="0.2">
      <c r="A13" s="2" t="s">
        <v>52</v>
      </c>
      <c r="B13" s="2" t="s">
        <v>17</v>
      </c>
      <c r="C13" s="2" t="s">
        <v>20</v>
      </c>
      <c r="D13" s="2" t="s">
        <v>58</v>
      </c>
      <c r="E13" s="2" t="s">
        <v>19</v>
      </c>
      <c r="F13" s="3">
        <f>'Precios Tab Dreamfull-sheets'!$G$3</f>
        <v>28170</v>
      </c>
      <c r="G13" s="3">
        <v>43000</v>
      </c>
      <c r="H13" s="3">
        <v>32200</v>
      </c>
      <c r="I13" s="3">
        <v>32200</v>
      </c>
      <c r="J13" s="3">
        <v>31200</v>
      </c>
      <c r="K13" s="3">
        <v>30200</v>
      </c>
      <c r="L13" s="3">
        <v>29200</v>
      </c>
      <c r="M13" s="3">
        <v>28200</v>
      </c>
      <c r="N13" s="5">
        <f t="shared" si="0"/>
        <v>4030</v>
      </c>
      <c r="O13" s="4">
        <f t="shared" si="1"/>
        <v>0.12515527950310559</v>
      </c>
      <c r="P13" s="5">
        <f t="shared" si="2"/>
        <v>3030</v>
      </c>
      <c r="Q13" s="4">
        <f t="shared" si="3"/>
        <v>9.7115384615384617E-2</v>
      </c>
      <c r="R13" s="5">
        <f t="shared" si="4"/>
        <v>2030</v>
      </c>
      <c r="S13" s="4">
        <f t="shared" si="5"/>
        <v>6.7218543046357618E-2</v>
      </c>
      <c r="T13" s="5">
        <f t="shared" si="6"/>
        <v>1030</v>
      </c>
      <c r="U13" s="4">
        <f t="shared" si="7"/>
        <v>3.5273972602739727E-2</v>
      </c>
      <c r="V13" s="5">
        <f t="shared" si="8"/>
        <v>30</v>
      </c>
      <c r="W13" s="4">
        <f t="shared" si="9"/>
        <v>1.0638297872340426E-3</v>
      </c>
    </row>
    <row r="14" spans="1:23" x14ac:dyDescent="0.2">
      <c r="A14" s="2" t="s">
        <v>52</v>
      </c>
      <c r="B14" s="2" t="s">
        <v>17</v>
      </c>
      <c r="C14" s="2" t="s">
        <v>21</v>
      </c>
      <c r="D14" s="2" t="s">
        <v>53</v>
      </c>
      <c r="E14" s="2" t="s">
        <v>19</v>
      </c>
      <c r="F14" s="3">
        <f>'Precios Tab Dreamfull-sheets'!$G$4</f>
        <v>28170</v>
      </c>
      <c r="G14" s="3">
        <v>43000</v>
      </c>
      <c r="H14" s="3">
        <v>32200</v>
      </c>
      <c r="I14" s="3">
        <v>32200</v>
      </c>
      <c r="J14" s="3">
        <v>31200</v>
      </c>
      <c r="K14" s="3">
        <v>30200</v>
      </c>
      <c r="L14" s="3">
        <v>29200</v>
      </c>
      <c r="M14" s="3">
        <v>28200</v>
      </c>
      <c r="N14" s="5">
        <f t="shared" si="0"/>
        <v>4030</v>
      </c>
      <c r="O14" s="4">
        <f t="shared" si="1"/>
        <v>0.12515527950310559</v>
      </c>
      <c r="P14" s="5">
        <f t="shared" si="2"/>
        <v>3030</v>
      </c>
      <c r="Q14" s="4">
        <f t="shared" si="3"/>
        <v>9.7115384615384617E-2</v>
      </c>
      <c r="R14" s="5">
        <f t="shared" si="4"/>
        <v>2030</v>
      </c>
      <c r="S14" s="4">
        <f t="shared" si="5"/>
        <v>6.7218543046357618E-2</v>
      </c>
      <c r="T14" s="5">
        <f t="shared" si="6"/>
        <v>1030</v>
      </c>
      <c r="U14" s="4">
        <f t="shared" si="7"/>
        <v>3.5273972602739727E-2</v>
      </c>
      <c r="V14" s="5">
        <f t="shared" si="8"/>
        <v>30</v>
      </c>
      <c r="W14" s="4">
        <f t="shared" si="9"/>
        <v>1.0638297872340426E-3</v>
      </c>
    </row>
    <row r="15" spans="1:23" x14ac:dyDescent="0.2">
      <c r="A15" s="2" t="s">
        <v>52</v>
      </c>
      <c r="B15" s="2" t="s">
        <v>17</v>
      </c>
      <c r="C15" s="2" t="s">
        <v>21</v>
      </c>
      <c r="D15" s="2" t="s">
        <v>54</v>
      </c>
      <c r="E15" s="2" t="s">
        <v>19</v>
      </c>
      <c r="F15" s="3">
        <f>'Precios Tab Dreamfull-sheets'!$G$4</f>
        <v>28170</v>
      </c>
      <c r="G15" s="3">
        <v>43000</v>
      </c>
      <c r="H15" s="3">
        <v>32200</v>
      </c>
      <c r="I15" s="3">
        <v>32200</v>
      </c>
      <c r="J15" s="3">
        <v>31200</v>
      </c>
      <c r="K15" s="3">
        <v>30200</v>
      </c>
      <c r="L15" s="3">
        <v>29200</v>
      </c>
      <c r="M15" s="3">
        <v>28200</v>
      </c>
      <c r="N15" s="5">
        <f t="shared" si="0"/>
        <v>4030</v>
      </c>
      <c r="O15" s="4">
        <f t="shared" si="1"/>
        <v>0.12515527950310559</v>
      </c>
      <c r="P15" s="5">
        <f t="shared" si="2"/>
        <v>3030</v>
      </c>
      <c r="Q15" s="4">
        <f t="shared" si="3"/>
        <v>9.7115384615384617E-2</v>
      </c>
      <c r="R15" s="5">
        <f t="shared" si="4"/>
        <v>2030</v>
      </c>
      <c r="S15" s="4">
        <f t="shared" si="5"/>
        <v>6.7218543046357618E-2</v>
      </c>
      <c r="T15" s="5">
        <f t="shared" si="6"/>
        <v>1030</v>
      </c>
      <c r="U15" s="4">
        <f t="shared" si="7"/>
        <v>3.5273972602739727E-2</v>
      </c>
      <c r="V15" s="5">
        <f t="shared" si="8"/>
        <v>30</v>
      </c>
      <c r="W15" s="4">
        <f t="shared" si="9"/>
        <v>1.0638297872340426E-3</v>
      </c>
    </row>
    <row r="16" spans="1:23" x14ac:dyDescent="0.2">
      <c r="A16" s="2" t="s">
        <v>52</v>
      </c>
      <c r="B16" s="2" t="s">
        <v>17</v>
      </c>
      <c r="C16" s="2" t="s">
        <v>21</v>
      </c>
      <c r="D16" s="2" t="s">
        <v>55</v>
      </c>
      <c r="E16" s="2" t="s">
        <v>19</v>
      </c>
      <c r="F16" s="3">
        <f>'Precios Tab Dreamfull-sheets'!$G$4</f>
        <v>28170</v>
      </c>
      <c r="G16" s="3">
        <v>43000</v>
      </c>
      <c r="H16" s="3">
        <v>32200</v>
      </c>
      <c r="I16" s="3">
        <v>32200</v>
      </c>
      <c r="J16" s="3">
        <v>31200</v>
      </c>
      <c r="K16" s="3">
        <v>30200</v>
      </c>
      <c r="L16" s="3">
        <v>29200</v>
      </c>
      <c r="M16" s="3">
        <v>28200</v>
      </c>
      <c r="N16" s="5">
        <f t="shared" si="0"/>
        <v>4030</v>
      </c>
      <c r="O16" s="4">
        <f t="shared" si="1"/>
        <v>0.12515527950310559</v>
      </c>
      <c r="P16" s="5">
        <f t="shared" si="2"/>
        <v>3030</v>
      </c>
      <c r="Q16" s="4">
        <f t="shared" si="3"/>
        <v>9.7115384615384617E-2</v>
      </c>
      <c r="R16" s="5">
        <f t="shared" si="4"/>
        <v>2030</v>
      </c>
      <c r="S16" s="4">
        <f t="shared" si="5"/>
        <v>6.7218543046357618E-2</v>
      </c>
      <c r="T16" s="5">
        <f t="shared" si="6"/>
        <v>1030</v>
      </c>
      <c r="U16" s="4">
        <f t="shared" si="7"/>
        <v>3.5273972602739727E-2</v>
      </c>
      <c r="V16" s="5">
        <f t="shared" si="8"/>
        <v>30</v>
      </c>
      <c r="W16" s="4">
        <f t="shared" si="9"/>
        <v>1.0638297872340426E-3</v>
      </c>
    </row>
    <row r="17" spans="1:23" x14ac:dyDescent="0.2">
      <c r="A17" s="2" t="s">
        <v>52</v>
      </c>
      <c r="B17" s="2" t="s">
        <v>17</v>
      </c>
      <c r="C17" s="2" t="s">
        <v>21</v>
      </c>
      <c r="D17" s="2" t="s">
        <v>56</v>
      </c>
      <c r="E17" s="2" t="s">
        <v>19</v>
      </c>
      <c r="F17" s="3">
        <f>'Precios Tab Dreamfull-sheets'!$G$4</f>
        <v>28170</v>
      </c>
      <c r="G17" s="3">
        <v>43000</v>
      </c>
      <c r="H17" s="3">
        <v>32200</v>
      </c>
      <c r="I17" s="3">
        <v>32200</v>
      </c>
      <c r="J17" s="3">
        <v>31200</v>
      </c>
      <c r="K17" s="3">
        <v>30200</v>
      </c>
      <c r="L17" s="3">
        <v>29200</v>
      </c>
      <c r="M17" s="3">
        <v>28200</v>
      </c>
      <c r="N17" s="5">
        <f t="shared" si="0"/>
        <v>4030</v>
      </c>
      <c r="O17" s="4">
        <f t="shared" si="1"/>
        <v>0.12515527950310559</v>
      </c>
      <c r="P17" s="5">
        <f t="shared" si="2"/>
        <v>3030</v>
      </c>
      <c r="Q17" s="4">
        <f t="shared" si="3"/>
        <v>9.7115384615384617E-2</v>
      </c>
      <c r="R17" s="5">
        <f t="shared" si="4"/>
        <v>2030</v>
      </c>
      <c r="S17" s="4">
        <f t="shared" si="5"/>
        <v>6.7218543046357618E-2</v>
      </c>
      <c r="T17" s="5">
        <f t="shared" si="6"/>
        <v>1030</v>
      </c>
      <c r="U17" s="4">
        <f t="shared" si="7"/>
        <v>3.5273972602739727E-2</v>
      </c>
      <c r="V17" s="5">
        <f t="shared" si="8"/>
        <v>30</v>
      </c>
      <c r="W17" s="4">
        <f t="shared" si="9"/>
        <v>1.0638297872340426E-3</v>
      </c>
    </row>
    <row r="18" spans="1:23" x14ac:dyDescent="0.2">
      <c r="A18" s="2" t="s">
        <v>52</v>
      </c>
      <c r="B18" s="2" t="s">
        <v>17</v>
      </c>
      <c r="C18" s="2" t="s">
        <v>21</v>
      </c>
      <c r="D18" s="2" t="s">
        <v>57</v>
      </c>
      <c r="E18" s="2" t="s">
        <v>19</v>
      </c>
      <c r="F18" s="3">
        <f>'Precios Tab Dreamfull-sheets'!$G$4</f>
        <v>28170</v>
      </c>
      <c r="G18" s="3">
        <v>43000</v>
      </c>
      <c r="H18" s="3">
        <v>32200</v>
      </c>
      <c r="I18" s="3">
        <v>32200</v>
      </c>
      <c r="J18" s="3">
        <v>31200</v>
      </c>
      <c r="K18" s="3">
        <v>30200</v>
      </c>
      <c r="L18" s="3">
        <v>29200</v>
      </c>
      <c r="M18" s="3">
        <v>28200</v>
      </c>
      <c r="N18" s="5">
        <f t="shared" si="0"/>
        <v>4030</v>
      </c>
      <c r="O18" s="4">
        <f t="shared" si="1"/>
        <v>0.12515527950310559</v>
      </c>
      <c r="P18" s="5">
        <f t="shared" si="2"/>
        <v>3030</v>
      </c>
      <c r="Q18" s="4">
        <f t="shared" si="3"/>
        <v>9.7115384615384617E-2</v>
      </c>
      <c r="R18" s="5">
        <f t="shared" si="4"/>
        <v>2030</v>
      </c>
      <c r="S18" s="4">
        <f t="shared" si="5"/>
        <v>6.7218543046357618E-2</v>
      </c>
      <c r="T18" s="5">
        <f t="shared" si="6"/>
        <v>1030</v>
      </c>
      <c r="U18" s="4">
        <f t="shared" si="7"/>
        <v>3.5273972602739727E-2</v>
      </c>
      <c r="V18" s="5">
        <f t="shared" si="8"/>
        <v>30</v>
      </c>
      <c r="W18" s="4">
        <f t="shared" si="9"/>
        <v>1.0638297872340426E-3</v>
      </c>
    </row>
    <row r="19" spans="1:23" x14ac:dyDescent="0.2">
      <c r="A19" s="2" t="s">
        <v>52</v>
      </c>
      <c r="B19" s="2" t="s">
        <v>17</v>
      </c>
      <c r="C19" s="2" t="s">
        <v>21</v>
      </c>
      <c r="D19" s="2" t="s">
        <v>58</v>
      </c>
      <c r="E19" s="2" t="s">
        <v>19</v>
      </c>
      <c r="F19" s="3">
        <f>'Precios Tab Dreamfull-sheets'!$G$4</f>
        <v>28170</v>
      </c>
      <c r="G19" s="3">
        <v>43000</v>
      </c>
      <c r="H19" s="3">
        <v>32200</v>
      </c>
      <c r="I19" s="3">
        <v>32200</v>
      </c>
      <c r="J19" s="3">
        <v>31200</v>
      </c>
      <c r="K19" s="3">
        <v>30200</v>
      </c>
      <c r="L19" s="3">
        <v>29200</v>
      </c>
      <c r="M19" s="3">
        <v>28200</v>
      </c>
      <c r="N19" s="5">
        <f t="shared" si="0"/>
        <v>4030</v>
      </c>
      <c r="O19" s="4">
        <f t="shared" si="1"/>
        <v>0.12515527950310559</v>
      </c>
      <c r="P19" s="5">
        <f t="shared" si="2"/>
        <v>3030</v>
      </c>
      <c r="Q19" s="4">
        <f t="shared" si="3"/>
        <v>9.7115384615384617E-2</v>
      </c>
      <c r="R19" s="5">
        <f t="shared" si="4"/>
        <v>2030</v>
      </c>
      <c r="S19" s="4">
        <f t="shared" si="5"/>
        <v>6.7218543046357618E-2</v>
      </c>
      <c r="T19" s="5">
        <f t="shared" si="6"/>
        <v>1030</v>
      </c>
      <c r="U19" s="4">
        <f t="shared" si="7"/>
        <v>3.5273972602739727E-2</v>
      </c>
      <c r="V19" s="5">
        <f t="shared" si="8"/>
        <v>30</v>
      </c>
      <c r="W19" s="4">
        <f t="shared" si="9"/>
        <v>1.0638297872340426E-3</v>
      </c>
    </row>
    <row r="20" spans="1:23" x14ac:dyDescent="0.2">
      <c r="A20" s="2" t="s">
        <v>59</v>
      </c>
      <c r="B20" s="2" t="s">
        <v>22</v>
      </c>
      <c r="C20" s="2" t="s">
        <v>18</v>
      </c>
      <c r="D20" s="2" t="s">
        <v>53</v>
      </c>
      <c r="E20" s="2" t="s">
        <v>23</v>
      </c>
      <c r="F20" s="3">
        <f>'Precios Tab Dreamfull-sheets'!$G$9</f>
        <v>25100</v>
      </c>
      <c r="G20" s="3">
        <v>55000</v>
      </c>
      <c r="H20" s="3">
        <v>38700</v>
      </c>
      <c r="I20" s="3">
        <v>38700</v>
      </c>
      <c r="J20" s="3">
        <v>36600</v>
      </c>
      <c r="K20" s="3">
        <v>34500</v>
      </c>
      <c r="L20" s="3">
        <v>32400</v>
      </c>
      <c r="M20" s="3">
        <v>30300</v>
      </c>
      <c r="N20" s="5">
        <f t="shared" si="0"/>
        <v>13600</v>
      </c>
      <c r="O20" s="4">
        <f t="shared" si="1"/>
        <v>0.35142118863049093</v>
      </c>
      <c r="P20" s="5">
        <f t="shared" si="2"/>
        <v>11500</v>
      </c>
      <c r="Q20" s="4">
        <f t="shared" si="3"/>
        <v>0.31420765027322406</v>
      </c>
      <c r="R20" s="5">
        <f t="shared" si="4"/>
        <v>9400</v>
      </c>
      <c r="S20" s="4">
        <f t="shared" si="5"/>
        <v>0.27246376811594203</v>
      </c>
      <c r="T20" s="5">
        <f t="shared" si="6"/>
        <v>7300</v>
      </c>
      <c r="U20" s="4">
        <f t="shared" si="7"/>
        <v>0.22530864197530864</v>
      </c>
      <c r="V20" s="5">
        <f t="shared" si="8"/>
        <v>5200</v>
      </c>
      <c r="W20" s="4">
        <f t="shared" si="9"/>
        <v>0.17161716171617161</v>
      </c>
    </row>
    <row r="21" spans="1:23" ht="15.75" customHeight="1" x14ac:dyDescent="0.2">
      <c r="A21" s="2" t="s">
        <v>59</v>
      </c>
      <c r="B21" s="2" t="s">
        <v>22</v>
      </c>
      <c r="C21" s="2" t="s">
        <v>18</v>
      </c>
      <c r="D21" s="2" t="s">
        <v>54</v>
      </c>
      <c r="E21" s="2" t="s">
        <v>23</v>
      </c>
      <c r="F21" s="3">
        <f>'Precios Tab Dreamfull-sheets'!$G$9</f>
        <v>25100</v>
      </c>
      <c r="G21" s="3">
        <v>55000</v>
      </c>
      <c r="H21" s="3">
        <v>38700</v>
      </c>
      <c r="I21" s="3">
        <v>38700</v>
      </c>
      <c r="J21" s="3">
        <v>36600</v>
      </c>
      <c r="K21" s="3">
        <v>34500</v>
      </c>
      <c r="L21" s="3">
        <v>32400</v>
      </c>
      <c r="M21" s="3">
        <v>30300</v>
      </c>
      <c r="N21" s="5">
        <f t="shared" si="0"/>
        <v>13600</v>
      </c>
      <c r="O21" s="4">
        <f t="shared" si="1"/>
        <v>0.35142118863049093</v>
      </c>
      <c r="P21" s="5">
        <f t="shared" si="2"/>
        <v>11500</v>
      </c>
      <c r="Q21" s="4">
        <f t="shared" si="3"/>
        <v>0.31420765027322406</v>
      </c>
      <c r="R21" s="5">
        <f t="shared" si="4"/>
        <v>9400</v>
      </c>
      <c r="S21" s="4">
        <f t="shared" si="5"/>
        <v>0.27246376811594203</v>
      </c>
      <c r="T21" s="5">
        <f t="shared" si="6"/>
        <v>7300</v>
      </c>
      <c r="U21" s="4">
        <f t="shared" si="7"/>
        <v>0.22530864197530864</v>
      </c>
      <c r="V21" s="5">
        <f t="shared" si="8"/>
        <v>5200</v>
      </c>
      <c r="W21" s="4">
        <f t="shared" si="9"/>
        <v>0.17161716171617161</v>
      </c>
    </row>
    <row r="22" spans="1:23" ht="15.75" customHeight="1" x14ac:dyDescent="0.2">
      <c r="A22" s="2" t="s">
        <v>59</v>
      </c>
      <c r="B22" s="2" t="s">
        <v>22</v>
      </c>
      <c r="C22" s="2" t="s">
        <v>18</v>
      </c>
      <c r="D22" s="2" t="s">
        <v>55</v>
      </c>
      <c r="E22" s="2" t="s">
        <v>23</v>
      </c>
      <c r="F22" s="3">
        <f>'Precios Tab Dreamfull-sheets'!$G$9</f>
        <v>25100</v>
      </c>
      <c r="G22" s="3">
        <v>55000</v>
      </c>
      <c r="H22" s="3">
        <v>38700</v>
      </c>
      <c r="I22" s="3">
        <v>38700</v>
      </c>
      <c r="J22" s="3">
        <v>36600</v>
      </c>
      <c r="K22" s="3">
        <v>34500</v>
      </c>
      <c r="L22" s="3">
        <v>32400</v>
      </c>
      <c r="M22" s="3">
        <v>30300</v>
      </c>
      <c r="N22" s="5">
        <f t="shared" si="0"/>
        <v>13600</v>
      </c>
      <c r="O22" s="4">
        <f t="shared" si="1"/>
        <v>0.35142118863049093</v>
      </c>
      <c r="P22" s="5">
        <f t="shared" si="2"/>
        <v>11500</v>
      </c>
      <c r="Q22" s="4">
        <f t="shared" si="3"/>
        <v>0.31420765027322406</v>
      </c>
      <c r="R22" s="5">
        <f t="shared" si="4"/>
        <v>9400</v>
      </c>
      <c r="S22" s="4">
        <f t="shared" si="5"/>
        <v>0.27246376811594203</v>
      </c>
      <c r="T22" s="5">
        <f t="shared" si="6"/>
        <v>7300</v>
      </c>
      <c r="U22" s="4">
        <f t="shared" si="7"/>
        <v>0.22530864197530864</v>
      </c>
      <c r="V22" s="5">
        <f t="shared" si="8"/>
        <v>5200</v>
      </c>
      <c r="W22" s="4">
        <f t="shared" si="9"/>
        <v>0.17161716171617161</v>
      </c>
    </row>
    <row r="23" spans="1:23" ht="15.75" customHeight="1" x14ac:dyDescent="0.2">
      <c r="A23" s="2" t="s">
        <v>59</v>
      </c>
      <c r="B23" s="2" t="s">
        <v>22</v>
      </c>
      <c r="C23" s="2" t="s">
        <v>18</v>
      </c>
      <c r="D23" s="2" t="s">
        <v>56</v>
      </c>
      <c r="E23" s="2" t="s">
        <v>23</v>
      </c>
      <c r="F23" s="3">
        <f>'Precios Tab Dreamfull-sheets'!$G$9</f>
        <v>25100</v>
      </c>
      <c r="G23" s="3">
        <v>55000</v>
      </c>
      <c r="H23" s="3">
        <v>38700</v>
      </c>
      <c r="I23" s="3">
        <v>38700</v>
      </c>
      <c r="J23" s="3">
        <v>36600</v>
      </c>
      <c r="K23" s="3">
        <v>34500</v>
      </c>
      <c r="L23" s="3">
        <v>32400</v>
      </c>
      <c r="M23" s="3">
        <v>30300</v>
      </c>
      <c r="N23" s="5">
        <f t="shared" si="0"/>
        <v>13600</v>
      </c>
      <c r="O23" s="4">
        <f t="shared" si="1"/>
        <v>0.35142118863049093</v>
      </c>
      <c r="P23" s="5">
        <f t="shared" si="2"/>
        <v>11500</v>
      </c>
      <c r="Q23" s="4">
        <f t="shared" si="3"/>
        <v>0.31420765027322406</v>
      </c>
      <c r="R23" s="5">
        <f t="shared" si="4"/>
        <v>9400</v>
      </c>
      <c r="S23" s="4">
        <f t="shared" si="5"/>
        <v>0.27246376811594203</v>
      </c>
      <c r="T23" s="5">
        <f t="shared" si="6"/>
        <v>7300</v>
      </c>
      <c r="U23" s="4">
        <f t="shared" si="7"/>
        <v>0.22530864197530864</v>
      </c>
      <c r="V23" s="5">
        <f t="shared" si="8"/>
        <v>5200</v>
      </c>
      <c r="W23" s="4">
        <f t="shared" si="9"/>
        <v>0.17161716171617161</v>
      </c>
    </row>
    <row r="24" spans="1:23" ht="15.75" customHeight="1" x14ac:dyDescent="0.2">
      <c r="A24" s="2" t="s">
        <v>59</v>
      </c>
      <c r="B24" s="2" t="s">
        <v>22</v>
      </c>
      <c r="C24" s="2" t="s">
        <v>18</v>
      </c>
      <c r="D24" s="2" t="s">
        <v>57</v>
      </c>
      <c r="E24" s="2" t="s">
        <v>23</v>
      </c>
      <c r="F24" s="3">
        <f>'Precios Tab Dreamfull-sheets'!$G$9</f>
        <v>25100</v>
      </c>
      <c r="G24" s="3">
        <v>55000</v>
      </c>
      <c r="H24" s="3">
        <v>38700</v>
      </c>
      <c r="I24" s="3">
        <v>38700</v>
      </c>
      <c r="J24" s="3">
        <v>36600</v>
      </c>
      <c r="K24" s="3">
        <v>34500</v>
      </c>
      <c r="L24" s="3">
        <v>32400</v>
      </c>
      <c r="M24" s="3">
        <v>30300</v>
      </c>
      <c r="N24" s="5">
        <f t="shared" si="0"/>
        <v>13600</v>
      </c>
      <c r="O24" s="4">
        <f t="shared" si="1"/>
        <v>0.35142118863049093</v>
      </c>
      <c r="P24" s="5">
        <f t="shared" si="2"/>
        <v>11500</v>
      </c>
      <c r="Q24" s="4">
        <f t="shared" si="3"/>
        <v>0.31420765027322406</v>
      </c>
      <c r="R24" s="5">
        <f t="shared" si="4"/>
        <v>9400</v>
      </c>
      <c r="S24" s="4">
        <f t="shared" si="5"/>
        <v>0.27246376811594203</v>
      </c>
      <c r="T24" s="5">
        <f t="shared" si="6"/>
        <v>7300</v>
      </c>
      <c r="U24" s="4">
        <f t="shared" si="7"/>
        <v>0.22530864197530864</v>
      </c>
      <c r="V24" s="5">
        <f t="shared" si="8"/>
        <v>5200</v>
      </c>
      <c r="W24" s="4">
        <f t="shared" si="9"/>
        <v>0.17161716171617161</v>
      </c>
    </row>
    <row r="25" spans="1:23" ht="15.75" customHeight="1" x14ac:dyDescent="0.2">
      <c r="A25" s="2" t="s">
        <v>59</v>
      </c>
      <c r="B25" s="2" t="s">
        <v>22</v>
      </c>
      <c r="C25" s="2" t="s">
        <v>18</v>
      </c>
      <c r="D25" s="2" t="s">
        <v>58</v>
      </c>
      <c r="E25" s="2" t="s">
        <v>23</v>
      </c>
      <c r="F25" s="3">
        <f>'Precios Tab Dreamfull-sheets'!$G$9</f>
        <v>25100</v>
      </c>
      <c r="G25" s="3">
        <v>55000</v>
      </c>
      <c r="H25" s="3">
        <v>38700</v>
      </c>
      <c r="I25" s="3">
        <v>38700</v>
      </c>
      <c r="J25" s="3">
        <v>36600</v>
      </c>
      <c r="K25" s="3">
        <v>34500</v>
      </c>
      <c r="L25" s="3">
        <v>32400</v>
      </c>
      <c r="M25" s="3">
        <v>30300</v>
      </c>
      <c r="N25" s="5">
        <f t="shared" si="0"/>
        <v>13600</v>
      </c>
      <c r="O25" s="4">
        <f t="shared" si="1"/>
        <v>0.35142118863049093</v>
      </c>
      <c r="P25" s="5">
        <f t="shared" si="2"/>
        <v>11500</v>
      </c>
      <c r="Q25" s="4">
        <f t="shared" si="3"/>
        <v>0.31420765027322406</v>
      </c>
      <c r="R25" s="5">
        <f t="shared" si="4"/>
        <v>9400</v>
      </c>
      <c r="S25" s="4">
        <f t="shared" si="5"/>
        <v>0.27246376811594203</v>
      </c>
      <c r="T25" s="5">
        <f t="shared" si="6"/>
        <v>7300</v>
      </c>
      <c r="U25" s="4">
        <f t="shared" si="7"/>
        <v>0.22530864197530864</v>
      </c>
      <c r="V25" s="5">
        <f t="shared" si="8"/>
        <v>5200</v>
      </c>
      <c r="W25" s="4">
        <f t="shared" si="9"/>
        <v>0.17161716171617161</v>
      </c>
    </row>
    <row r="26" spans="1:23" ht="15.75" customHeight="1" x14ac:dyDescent="0.2">
      <c r="A26" s="2" t="s">
        <v>59</v>
      </c>
      <c r="B26" s="2" t="s">
        <v>22</v>
      </c>
      <c r="C26" s="2" t="s">
        <v>20</v>
      </c>
      <c r="D26" s="2" t="s">
        <v>53</v>
      </c>
      <c r="E26" s="2" t="s">
        <v>23</v>
      </c>
      <c r="F26" s="3">
        <f>'Precios Tab Dreamfull-sheets'!$G$10</f>
        <v>29170</v>
      </c>
      <c r="G26" s="3">
        <v>55000</v>
      </c>
      <c r="H26" s="3">
        <v>38700</v>
      </c>
      <c r="I26" s="3">
        <v>38700</v>
      </c>
      <c r="J26" s="3">
        <v>36600</v>
      </c>
      <c r="K26" s="3">
        <v>34500</v>
      </c>
      <c r="L26" s="3">
        <v>32400</v>
      </c>
      <c r="M26" s="3">
        <v>30300</v>
      </c>
      <c r="N26" s="5">
        <f t="shared" si="0"/>
        <v>9530</v>
      </c>
      <c r="O26" s="4">
        <f t="shared" si="1"/>
        <v>0.24625322997416021</v>
      </c>
      <c r="P26" s="5">
        <f t="shared" si="2"/>
        <v>7430</v>
      </c>
      <c r="Q26" s="4">
        <f t="shared" si="3"/>
        <v>0.20300546448087431</v>
      </c>
      <c r="R26" s="5">
        <f t="shared" si="4"/>
        <v>5330</v>
      </c>
      <c r="S26" s="4">
        <f t="shared" si="5"/>
        <v>0.1544927536231884</v>
      </c>
      <c r="T26" s="5">
        <f t="shared" si="6"/>
        <v>3230</v>
      </c>
      <c r="U26" s="4">
        <f t="shared" si="7"/>
        <v>9.9691358024691354E-2</v>
      </c>
      <c r="V26" s="5">
        <f t="shared" si="8"/>
        <v>1130</v>
      </c>
      <c r="W26" s="4">
        <f t="shared" si="9"/>
        <v>3.7293729372937297E-2</v>
      </c>
    </row>
    <row r="27" spans="1:23" ht="15.75" customHeight="1" x14ac:dyDescent="0.2">
      <c r="A27" s="2" t="s">
        <v>59</v>
      </c>
      <c r="B27" s="2" t="s">
        <v>22</v>
      </c>
      <c r="C27" s="2" t="s">
        <v>20</v>
      </c>
      <c r="D27" s="2" t="s">
        <v>54</v>
      </c>
      <c r="E27" s="2" t="s">
        <v>23</v>
      </c>
      <c r="F27" s="3">
        <f>'Precios Tab Dreamfull-sheets'!$G$10</f>
        <v>29170</v>
      </c>
      <c r="G27" s="3">
        <v>55000</v>
      </c>
      <c r="H27" s="3">
        <v>38700</v>
      </c>
      <c r="I27" s="3">
        <v>38700</v>
      </c>
      <c r="J27" s="3">
        <v>36600</v>
      </c>
      <c r="K27" s="3">
        <v>34500</v>
      </c>
      <c r="L27" s="3">
        <v>32400</v>
      </c>
      <c r="M27" s="3">
        <v>30300</v>
      </c>
      <c r="N27" s="5">
        <f t="shared" si="0"/>
        <v>9530</v>
      </c>
      <c r="O27" s="4">
        <f t="shared" si="1"/>
        <v>0.24625322997416021</v>
      </c>
      <c r="P27" s="5">
        <f t="shared" si="2"/>
        <v>7430</v>
      </c>
      <c r="Q27" s="4">
        <f t="shared" si="3"/>
        <v>0.20300546448087431</v>
      </c>
      <c r="R27" s="5">
        <f t="shared" si="4"/>
        <v>5330</v>
      </c>
      <c r="S27" s="4">
        <f t="shared" si="5"/>
        <v>0.1544927536231884</v>
      </c>
      <c r="T27" s="5">
        <f t="shared" si="6"/>
        <v>3230</v>
      </c>
      <c r="U27" s="4">
        <f t="shared" si="7"/>
        <v>9.9691358024691354E-2</v>
      </c>
      <c r="V27" s="5">
        <f t="shared" si="8"/>
        <v>1130</v>
      </c>
      <c r="W27" s="4">
        <f t="shared" si="9"/>
        <v>3.7293729372937297E-2</v>
      </c>
    </row>
    <row r="28" spans="1:23" ht="15.75" customHeight="1" x14ac:dyDescent="0.2">
      <c r="A28" s="2" t="s">
        <v>59</v>
      </c>
      <c r="B28" s="2" t="s">
        <v>22</v>
      </c>
      <c r="C28" s="2" t="s">
        <v>20</v>
      </c>
      <c r="D28" s="2" t="s">
        <v>55</v>
      </c>
      <c r="E28" s="2" t="s">
        <v>23</v>
      </c>
      <c r="F28" s="3">
        <f>'Precios Tab Dreamfull-sheets'!$G$10</f>
        <v>29170</v>
      </c>
      <c r="G28" s="3">
        <v>55000</v>
      </c>
      <c r="H28" s="3">
        <v>38700</v>
      </c>
      <c r="I28" s="3">
        <v>38700</v>
      </c>
      <c r="J28" s="3">
        <v>36600</v>
      </c>
      <c r="K28" s="3">
        <v>34500</v>
      </c>
      <c r="L28" s="3">
        <v>32400</v>
      </c>
      <c r="M28" s="3">
        <v>30300</v>
      </c>
      <c r="N28" s="5">
        <f t="shared" si="0"/>
        <v>9530</v>
      </c>
      <c r="O28" s="4">
        <f t="shared" si="1"/>
        <v>0.24625322997416021</v>
      </c>
      <c r="P28" s="5">
        <f t="shared" si="2"/>
        <v>7430</v>
      </c>
      <c r="Q28" s="4">
        <f t="shared" si="3"/>
        <v>0.20300546448087431</v>
      </c>
      <c r="R28" s="5">
        <f t="shared" si="4"/>
        <v>5330</v>
      </c>
      <c r="S28" s="4">
        <f t="shared" si="5"/>
        <v>0.1544927536231884</v>
      </c>
      <c r="T28" s="5">
        <f t="shared" si="6"/>
        <v>3230</v>
      </c>
      <c r="U28" s="4">
        <f t="shared" si="7"/>
        <v>9.9691358024691354E-2</v>
      </c>
      <c r="V28" s="5">
        <f t="shared" si="8"/>
        <v>1130</v>
      </c>
      <c r="W28" s="4">
        <f t="shared" si="9"/>
        <v>3.7293729372937297E-2</v>
      </c>
    </row>
    <row r="29" spans="1:23" ht="15.75" customHeight="1" x14ac:dyDescent="0.2">
      <c r="A29" s="2" t="s">
        <v>59</v>
      </c>
      <c r="B29" s="2" t="s">
        <v>22</v>
      </c>
      <c r="C29" s="2" t="s">
        <v>20</v>
      </c>
      <c r="D29" s="2" t="s">
        <v>56</v>
      </c>
      <c r="E29" s="2" t="s">
        <v>23</v>
      </c>
      <c r="F29" s="3">
        <f>'Precios Tab Dreamfull-sheets'!$G$10</f>
        <v>29170</v>
      </c>
      <c r="G29" s="3">
        <v>55000</v>
      </c>
      <c r="H29" s="3">
        <v>38700</v>
      </c>
      <c r="I29" s="3">
        <v>38700</v>
      </c>
      <c r="J29" s="3">
        <v>36600</v>
      </c>
      <c r="K29" s="3">
        <v>34500</v>
      </c>
      <c r="L29" s="3">
        <v>32400</v>
      </c>
      <c r="M29" s="3">
        <v>30300</v>
      </c>
      <c r="N29" s="5">
        <f t="shared" si="0"/>
        <v>9530</v>
      </c>
      <c r="O29" s="4">
        <f t="shared" si="1"/>
        <v>0.24625322997416021</v>
      </c>
      <c r="P29" s="5">
        <f t="shared" si="2"/>
        <v>7430</v>
      </c>
      <c r="Q29" s="4">
        <f t="shared" si="3"/>
        <v>0.20300546448087431</v>
      </c>
      <c r="R29" s="5">
        <f t="shared" si="4"/>
        <v>5330</v>
      </c>
      <c r="S29" s="4">
        <f t="shared" si="5"/>
        <v>0.1544927536231884</v>
      </c>
      <c r="T29" s="5">
        <f t="shared" si="6"/>
        <v>3230</v>
      </c>
      <c r="U29" s="4">
        <f t="shared" si="7"/>
        <v>9.9691358024691354E-2</v>
      </c>
      <c r="V29" s="5">
        <f t="shared" si="8"/>
        <v>1130</v>
      </c>
      <c r="W29" s="4">
        <f t="shared" si="9"/>
        <v>3.7293729372937297E-2</v>
      </c>
    </row>
    <row r="30" spans="1:23" ht="15.75" customHeight="1" x14ac:dyDescent="0.2">
      <c r="A30" s="2" t="s">
        <v>59</v>
      </c>
      <c r="B30" s="2" t="s">
        <v>22</v>
      </c>
      <c r="C30" s="2" t="s">
        <v>20</v>
      </c>
      <c r="D30" s="2" t="s">
        <v>57</v>
      </c>
      <c r="E30" s="2" t="s">
        <v>23</v>
      </c>
      <c r="F30" s="3">
        <f>'Precios Tab Dreamfull-sheets'!$G$10</f>
        <v>29170</v>
      </c>
      <c r="G30" s="3">
        <v>55000</v>
      </c>
      <c r="H30" s="3">
        <v>38700</v>
      </c>
      <c r="I30" s="3">
        <v>38700</v>
      </c>
      <c r="J30" s="3">
        <v>36600</v>
      </c>
      <c r="K30" s="3">
        <v>34500</v>
      </c>
      <c r="L30" s="3">
        <v>32400</v>
      </c>
      <c r="M30" s="3">
        <v>30300</v>
      </c>
      <c r="N30" s="5">
        <f t="shared" si="0"/>
        <v>9530</v>
      </c>
      <c r="O30" s="4">
        <f t="shared" si="1"/>
        <v>0.24625322997416021</v>
      </c>
      <c r="P30" s="5">
        <f t="shared" si="2"/>
        <v>7430</v>
      </c>
      <c r="Q30" s="4">
        <f t="shared" si="3"/>
        <v>0.20300546448087431</v>
      </c>
      <c r="R30" s="5">
        <f t="shared" si="4"/>
        <v>5330</v>
      </c>
      <c r="S30" s="4">
        <f t="shared" si="5"/>
        <v>0.1544927536231884</v>
      </c>
      <c r="T30" s="5">
        <f t="shared" si="6"/>
        <v>3230</v>
      </c>
      <c r="U30" s="4">
        <f t="shared" si="7"/>
        <v>9.9691358024691354E-2</v>
      </c>
      <c r="V30" s="5">
        <f t="shared" si="8"/>
        <v>1130</v>
      </c>
      <c r="W30" s="4">
        <f t="shared" si="9"/>
        <v>3.7293729372937297E-2</v>
      </c>
    </row>
    <row r="31" spans="1:23" ht="15.75" customHeight="1" x14ac:dyDescent="0.2">
      <c r="A31" s="2" t="s">
        <v>59</v>
      </c>
      <c r="B31" s="2" t="s">
        <v>22</v>
      </c>
      <c r="C31" s="2" t="s">
        <v>20</v>
      </c>
      <c r="D31" s="2" t="s">
        <v>58</v>
      </c>
      <c r="E31" s="2" t="s">
        <v>23</v>
      </c>
      <c r="F31" s="3">
        <f>'Precios Tab Dreamfull-sheets'!$G$10</f>
        <v>29170</v>
      </c>
      <c r="G31" s="3">
        <v>55000</v>
      </c>
      <c r="H31" s="3">
        <v>38700</v>
      </c>
      <c r="I31" s="3">
        <v>38700</v>
      </c>
      <c r="J31" s="3">
        <v>36600</v>
      </c>
      <c r="K31" s="3">
        <v>34500</v>
      </c>
      <c r="L31" s="3">
        <v>32400</v>
      </c>
      <c r="M31" s="3">
        <v>30300</v>
      </c>
      <c r="N31" s="5">
        <f t="shared" si="0"/>
        <v>9530</v>
      </c>
      <c r="O31" s="4">
        <f t="shared" si="1"/>
        <v>0.24625322997416021</v>
      </c>
      <c r="P31" s="5">
        <f t="shared" si="2"/>
        <v>7430</v>
      </c>
      <c r="Q31" s="4">
        <f t="shared" si="3"/>
        <v>0.20300546448087431</v>
      </c>
      <c r="R31" s="5">
        <f t="shared" si="4"/>
        <v>5330</v>
      </c>
      <c r="S31" s="4">
        <f t="shared" si="5"/>
        <v>0.1544927536231884</v>
      </c>
      <c r="T31" s="5">
        <f t="shared" si="6"/>
        <v>3230</v>
      </c>
      <c r="U31" s="4">
        <f t="shared" si="7"/>
        <v>9.9691358024691354E-2</v>
      </c>
      <c r="V31" s="5">
        <f t="shared" si="8"/>
        <v>1130</v>
      </c>
      <c r="W31" s="4">
        <f t="shared" si="9"/>
        <v>3.7293729372937297E-2</v>
      </c>
    </row>
    <row r="32" spans="1:23" ht="15.75" customHeight="1" x14ac:dyDescent="0.2">
      <c r="A32" s="2" t="s">
        <v>59</v>
      </c>
      <c r="B32" s="2" t="s">
        <v>22</v>
      </c>
      <c r="C32" s="2" t="s">
        <v>21</v>
      </c>
      <c r="D32" s="2" t="s">
        <v>53</v>
      </c>
      <c r="E32" s="2" t="s">
        <v>23</v>
      </c>
      <c r="F32" s="3">
        <f>'Precios Tab Dreamfull-sheets'!$G$11</f>
        <v>30170</v>
      </c>
      <c r="G32" s="3">
        <v>55000</v>
      </c>
      <c r="H32" s="3">
        <v>38700</v>
      </c>
      <c r="I32" s="3">
        <v>38700</v>
      </c>
      <c r="J32" s="3">
        <v>36600</v>
      </c>
      <c r="K32" s="3">
        <v>34500</v>
      </c>
      <c r="L32" s="3">
        <v>32400</v>
      </c>
      <c r="M32" s="3">
        <v>30300</v>
      </c>
      <c r="N32" s="5">
        <f t="shared" si="0"/>
        <v>8530</v>
      </c>
      <c r="O32" s="4">
        <f t="shared" si="1"/>
        <v>0.22041343669250646</v>
      </c>
      <c r="P32" s="5">
        <f t="shared" si="2"/>
        <v>6430</v>
      </c>
      <c r="Q32" s="4">
        <f t="shared" si="3"/>
        <v>0.17568306010928961</v>
      </c>
      <c r="R32" s="5">
        <f t="shared" si="4"/>
        <v>4330</v>
      </c>
      <c r="S32" s="4">
        <f t="shared" si="5"/>
        <v>0.1255072463768116</v>
      </c>
      <c r="T32" s="5">
        <f t="shared" si="6"/>
        <v>2230</v>
      </c>
      <c r="U32" s="4">
        <f t="shared" si="7"/>
        <v>6.8827160493827158E-2</v>
      </c>
      <c r="V32" s="5">
        <f t="shared" si="8"/>
        <v>130</v>
      </c>
      <c r="W32" s="4">
        <f t="shared" si="9"/>
        <v>4.2904290429042905E-3</v>
      </c>
    </row>
    <row r="33" spans="1:23" ht="15.75" customHeight="1" x14ac:dyDescent="0.2">
      <c r="A33" s="2" t="s">
        <v>59</v>
      </c>
      <c r="B33" s="2" t="s">
        <v>22</v>
      </c>
      <c r="C33" s="2" t="s">
        <v>21</v>
      </c>
      <c r="D33" s="2" t="s">
        <v>54</v>
      </c>
      <c r="E33" s="2" t="s">
        <v>23</v>
      </c>
      <c r="F33" s="3">
        <f>'Precios Tab Dreamfull-sheets'!$G$11</f>
        <v>30170</v>
      </c>
      <c r="G33" s="3">
        <v>55000</v>
      </c>
      <c r="H33" s="3">
        <v>38700</v>
      </c>
      <c r="I33" s="3">
        <v>38700</v>
      </c>
      <c r="J33" s="3">
        <v>36600</v>
      </c>
      <c r="K33" s="3">
        <v>34500</v>
      </c>
      <c r="L33" s="3">
        <v>32400</v>
      </c>
      <c r="M33" s="3">
        <v>30300</v>
      </c>
      <c r="N33" s="5">
        <f t="shared" si="0"/>
        <v>8530</v>
      </c>
      <c r="O33" s="4">
        <f t="shared" si="1"/>
        <v>0.22041343669250646</v>
      </c>
      <c r="P33" s="5">
        <f t="shared" si="2"/>
        <v>6430</v>
      </c>
      <c r="Q33" s="4">
        <f t="shared" si="3"/>
        <v>0.17568306010928961</v>
      </c>
      <c r="R33" s="5">
        <f t="shared" si="4"/>
        <v>4330</v>
      </c>
      <c r="S33" s="4">
        <f t="shared" si="5"/>
        <v>0.1255072463768116</v>
      </c>
      <c r="T33" s="5">
        <f t="shared" si="6"/>
        <v>2230</v>
      </c>
      <c r="U33" s="4">
        <f t="shared" si="7"/>
        <v>6.8827160493827158E-2</v>
      </c>
      <c r="V33" s="5">
        <f t="shared" si="8"/>
        <v>130</v>
      </c>
      <c r="W33" s="4">
        <f t="shared" si="9"/>
        <v>4.2904290429042905E-3</v>
      </c>
    </row>
    <row r="34" spans="1:23" ht="15.75" customHeight="1" x14ac:dyDescent="0.2">
      <c r="A34" s="2" t="s">
        <v>59</v>
      </c>
      <c r="B34" s="2" t="s">
        <v>22</v>
      </c>
      <c r="C34" s="2" t="s">
        <v>21</v>
      </c>
      <c r="D34" s="2" t="s">
        <v>55</v>
      </c>
      <c r="E34" s="2" t="s">
        <v>23</v>
      </c>
      <c r="F34" s="3">
        <f>'Precios Tab Dreamfull-sheets'!$G$11</f>
        <v>30170</v>
      </c>
      <c r="G34" s="3">
        <v>55000</v>
      </c>
      <c r="H34" s="3">
        <v>38700</v>
      </c>
      <c r="I34" s="3">
        <v>38700</v>
      </c>
      <c r="J34" s="3">
        <v>36600</v>
      </c>
      <c r="K34" s="3">
        <v>34500</v>
      </c>
      <c r="L34" s="3">
        <v>32400</v>
      </c>
      <c r="M34" s="3">
        <v>30300</v>
      </c>
      <c r="N34" s="5">
        <f t="shared" si="0"/>
        <v>8530</v>
      </c>
      <c r="O34" s="4">
        <f t="shared" si="1"/>
        <v>0.22041343669250646</v>
      </c>
      <c r="P34" s="5">
        <f t="shared" si="2"/>
        <v>6430</v>
      </c>
      <c r="Q34" s="4">
        <f t="shared" si="3"/>
        <v>0.17568306010928961</v>
      </c>
      <c r="R34" s="5">
        <f t="shared" si="4"/>
        <v>4330</v>
      </c>
      <c r="S34" s="4">
        <f t="shared" si="5"/>
        <v>0.1255072463768116</v>
      </c>
      <c r="T34" s="5">
        <f t="shared" si="6"/>
        <v>2230</v>
      </c>
      <c r="U34" s="4">
        <f t="shared" si="7"/>
        <v>6.8827160493827158E-2</v>
      </c>
      <c r="V34" s="5">
        <f t="shared" si="8"/>
        <v>130</v>
      </c>
      <c r="W34" s="4">
        <f t="shared" si="9"/>
        <v>4.2904290429042905E-3</v>
      </c>
    </row>
    <row r="35" spans="1:23" ht="15.75" customHeight="1" x14ac:dyDescent="0.2">
      <c r="A35" s="2" t="s">
        <v>59</v>
      </c>
      <c r="B35" s="2" t="s">
        <v>22</v>
      </c>
      <c r="C35" s="2" t="s">
        <v>21</v>
      </c>
      <c r="D35" s="2" t="s">
        <v>56</v>
      </c>
      <c r="E35" s="2" t="s">
        <v>23</v>
      </c>
      <c r="F35" s="3">
        <f>'Precios Tab Dreamfull-sheets'!$G$11</f>
        <v>30170</v>
      </c>
      <c r="G35" s="3">
        <v>55000</v>
      </c>
      <c r="H35" s="3">
        <v>38700</v>
      </c>
      <c r="I35" s="3">
        <v>38700</v>
      </c>
      <c r="J35" s="3">
        <v>36600</v>
      </c>
      <c r="K35" s="3">
        <v>34500</v>
      </c>
      <c r="L35" s="3">
        <v>32400</v>
      </c>
      <c r="M35" s="3">
        <v>30300</v>
      </c>
      <c r="N35" s="5">
        <f t="shared" si="0"/>
        <v>8530</v>
      </c>
      <c r="O35" s="4">
        <f t="shared" si="1"/>
        <v>0.22041343669250646</v>
      </c>
      <c r="P35" s="5">
        <f t="shared" si="2"/>
        <v>6430</v>
      </c>
      <c r="Q35" s="4">
        <f t="shared" si="3"/>
        <v>0.17568306010928961</v>
      </c>
      <c r="R35" s="5">
        <f t="shared" si="4"/>
        <v>4330</v>
      </c>
      <c r="S35" s="4">
        <f t="shared" si="5"/>
        <v>0.1255072463768116</v>
      </c>
      <c r="T35" s="5">
        <f t="shared" si="6"/>
        <v>2230</v>
      </c>
      <c r="U35" s="4">
        <f t="shared" si="7"/>
        <v>6.8827160493827158E-2</v>
      </c>
      <c r="V35" s="5">
        <f t="shared" si="8"/>
        <v>130</v>
      </c>
      <c r="W35" s="4">
        <f t="shared" si="9"/>
        <v>4.2904290429042905E-3</v>
      </c>
    </row>
    <row r="36" spans="1:23" ht="15.75" customHeight="1" x14ac:dyDescent="0.2">
      <c r="A36" s="2" t="s">
        <v>59</v>
      </c>
      <c r="B36" s="2" t="s">
        <v>22</v>
      </c>
      <c r="C36" s="2" t="s">
        <v>21</v>
      </c>
      <c r="D36" s="2" t="s">
        <v>57</v>
      </c>
      <c r="E36" s="2" t="s">
        <v>23</v>
      </c>
      <c r="F36" s="3">
        <f>'Precios Tab Dreamfull-sheets'!$G$11</f>
        <v>30170</v>
      </c>
      <c r="G36" s="3">
        <v>55000</v>
      </c>
      <c r="H36" s="3">
        <v>38700</v>
      </c>
      <c r="I36" s="3">
        <v>38700</v>
      </c>
      <c r="J36" s="3">
        <v>36600</v>
      </c>
      <c r="K36" s="3">
        <v>34500</v>
      </c>
      <c r="L36" s="3">
        <v>32400</v>
      </c>
      <c r="M36" s="3">
        <v>30300</v>
      </c>
      <c r="N36" s="5">
        <f t="shared" si="0"/>
        <v>8530</v>
      </c>
      <c r="O36" s="4">
        <f t="shared" si="1"/>
        <v>0.22041343669250646</v>
      </c>
      <c r="P36" s="5">
        <f t="shared" si="2"/>
        <v>6430</v>
      </c>
      <c r="Q36" s="4">
        <f t="shared" si="3"/>
        <v>0.17568306010928961</v>
      </c>
      <c r="R36" s="5">
        <f t="shared" si="4"/>
        <v>4330</v>
      </c>
      <c r="S36" s="4">
        <f t="shared" si="5"/>
        <v>0.1255072463768116</v>
      </c>
      <c r="T36" s="5">
        <f t="shared" si="6"/>
        <v>2230</v>
      </c>
      <c r="U36" s="4">
        <f t="shared" si="7"/>
        <v>6.8827160493827158E-2</v>
      </c>
      <c r="V36" s="5">
        <f t="shared" si="8"/>
        <v>130</v>
      </c>
      <c r="W36" s="4">
        <f t="shared" si="9"/>
        <v>4.2904290429042905E-3</v>
      </c>
    </row>
    <row r="37" spans="1:23" ht="15.75" customHeight="1" x14ac:dyDescent="0.2">
      <c r="A37" s="2" t="s">
        <v>59</v>
      </c>
      <c r="B37" s="2" t="s">
        <v>22</v>
      </c>
      <c r="C37" s="2" t="s">
        <v>21</v>
      </c>
      <c r="D37" s="2" t="s">
        <v>58</v>
      </c>
      <c r="E37" s="2" t="s">
        <v>23</v>
      </c>
      <c r="F37" s="3">
        <f>'Precios Tab Dreamfull-sheets'!$G$11</f>
        <v>30170</v>
      </c>
      <c r="G37" s="3">
        <v>55000</v>
      </c>
      <c r="H37" s="3">
        <v>38700</v>
      </c>
      <c r="I37" s="3">
        <v>38700</v>
      </c>
      <c r="J37" s="3">
        <v>36600</v>
      </c>
      <c r="K37" s="3">
        <v>34500</v>
      </c>
      <c r="L37" s="3">
        <v>32400</v>
      </c>
      <c r="M37" s="3">
        <v>30300</v>
      </c>
      <c r="N37" s="5">
        <f t="shared" si="0"/>
        <v>8530</v>
      </c>
      <c r="O37" s="4">
        <f t="shared" si="1"/>
        <v>0.22041343669250646</v>
      </c>
      <c r="P37" s="5">
        <f t="shared" si="2"/>
        <v>6430</v>
      </c>
      <c r="Q37" s="4">
        <f t="shared" si="3"/>
        <v>0.17568306010928961</v>
      </c>
      <c r="R37" s="5">
        <f t="shared" si="4"/>
        <v>4330</v>
      </c>
      <c r="S37" s="4">
        <f t="shared" si="5"/>
        <v>0.1255072463768116</v>
      </c>
      <c r="T37" s="5">
        <f t="shared" si="6"/>
        <v>2230</v>
      </c>
      <c r="U37" s="4">
        <f t="shared" si="7"/>
        <v>6.8827160493827158E-2</v>
      </c>
      <c r="V37" s="5">
        <f t="shared" si="8"/>
        <v>130</v>
      </c>
      <c r="W37" s="4">
        <f t="shared" si="9"/>
        <v>4.2904290429042905E-3</v>
      </c>
    </row>
    <row r="38" spans="1:23" ht="15.75" customHeight="1" x14ac:dyDescent="0.2">
      <c r="A38" s="2" t="s">
        <v>59</v>
      </c>
      <c r="B38" s="2" t="s">
        <v>22</v>
      </c>
      <c r="C38" s="2" t="s">
        <v>24</v>
      </c>
      <c r="D38" s="2" t="s">
        <v>54</v>
      </c>
      <c r="E38" s="2" t="s">
        <v>23</v>
      </c>
      <c r="F38" s="3">
        <f>'Precios Tab Dreamfull-sheets'!$G$10</f>
        <v>29170</v>
      </c>
      <c r="G38" s="3">
        <v>55000</v>
      </c>
      <c r="H38" s="3">
        <v>38700</v>
      </c>
      <c r="I38" s="3">
        <v>38700</v>
      </c>
      <c r="J38" s="3">
        <v>36600</v>
      </c>
      <c r="K38" s="3">
        <v>34500</v>
      </c>
      <c r="L38" s="3">
        <v>32400</v>
      </c>
      <c r="M38" s="3">
        <v>30300</v>
      </c>
      <c r="N38" s="5">
        <f t="shared" si="0"/>
        <v>9530</v>
      </c>
      <c r="O38" s="4">
        <f t="shared" si="1"/>
        <v>0.24625322997416021</v>
      </c>
      <c r="P38" s="5">
        <f t="shared" si="2"/>
        <v>7430</v>
      </c>
      <c r="Q38" s="4">
        <f t="shared" si="3"/>
        <v>0.20300546448087431</v>
      </c>
      <c r="R38" s="5">
        <f t="shared" si="4"/>
        <v>5330</v>
      </c>
      <c r="S38" s="4">
        <f t="shared" si="5"/>
        <v>0.1544927536231884</v>
      </c>
      <c r="T38" s="5">
        <f t="shared" si="6"/>
        <v>3230</v>
      </c>
      <c r="U38" s="4">
        <f t="shared" si="7"/>
        <v>9.9691358024691354E-2</v>
      </c>
      <c r="V38" s="5">
        <f t="shared" si="8"/>
        <v>1130</v>
      </c>
      <c r="W38" s="4">
        <f t="shared" si="9"/>
        <v>3.7293729372937297E-2</v>
      </c>
    </row>
    <row r="39" spans="1:23" ht="15.75" customHeight="1" x14ac:dyDescent="0.2">
      <c r="A39" s="2" t="s">
        <v>59</v>
      </c>
      <c r="B39" s="2" t="s">
        <v>22</v>
      </c>
      <c r="C39" s="2" t="s">
        <v>24</v>
      </c>
      <c r="D39" s="2" t="s">
        <v>55</v>
      </c>
      <c r="E39" s="2" t="s">
        <v>23</v>
      </c>
      <c r="F39" s="3">
        <f>'Precios Tab Dreamfull-sheets'!$G$10</f>
        <v>29170</v>
      </c>
      <c r="G39" s="3">
        <v>55000</v>
      </c>
      <c r="H39" s="3">
        <v>38700</v>
      </c>
      <c r="I39" s="3">
        <v>38700</v>
      </c>
      <c r="J39" s="3">
        <v>36600</v>
      </c>
      <c r="K39" s="3">
        <v>34500</v>
      </c>
      <c r="L39" s="3">
        <v>32400</v>
      </c>
      <c r="M39" s="3">
        <v>30300</v>
      </c>
      <c r="N39" s="5">
        <f t="shared" si="0"/>
        <v>9530</v>
      </c>
      <c r="O39" s="4">
        <f t="shared" si="1"/>
        <v>0.24625322997416021</v>
      </c>
      <c r="P39" s="5">
        <f t="shared" si="2"/>
        <v>7430</v>
      </c>
      <c r="Q39" s="4">
        <f t="shared" si="3"/>
        <v>0.20300546448087431</v>
      </c>
      <c r="R39" s="5">
        <f t="shared" si="4"/>
        <v>5330</v>
      </c>
      <c r="S39" s="4">
        <f t="shared" si="5"/>
        <v>0.1544927536231884</v>
      </c>
      <c r="T39" s="5">
        <f t="shared" si="6"/>
        <v>3230</v>
      </c>
      <c r="U39" s="4">
        <f t="shared" si="7"/>
        <v>9.9691358024691354E-2</v>
      </c>
      <c r="V39" s="5">
        <f t="shared" si="8"/>
        <v>1130</v>
      </c>
      <c r="W39" s="4">
        <f t="shared" si="9"/>
        <v>3.7293729372937297E-2</v>
      </c>
    </row>
    <row r="40" spans="1:23" ht="15.75" customHeight="1" x14ac:dyDescent="0.2">
      <c r="A40" s="2" t="s">
        <v>59</v>
      </c>
      <c r="B40" s="2" t="s">
        <v>22</v>
      </c>
      <c r="C40" s="2" t="s">
        <v>24</v>
      </c>
      <c r="D40" s="2" t="s">
        <v>56</v>
      </c>
      <c r="E40" s="2" t="s">
        <v>23</v>
      </c>
      <c r="F40" s="3">
        <f>'Precios Tab Dreamfull-sheets'!$G$10</f>
        <v>29170</v>
      </c>
      <c r="G40" s="3">
        <v>55000</v>
      </c>
      <c r="H40" s="3">
        <v>38700</v>
      </c>
      <c r="I40" s="3">
        <v>38700</v>
      </c>
      <c r="J40" s="3">
        <v>36600</v>
      </c>
      <c r="K40" s="3">
        <v>34500</v>
      </c>
      <c r="L40" s="3">
        <v>32400</v>
      </c>
      <c r="M40" s="3">
        <v>30300</v>
      </c>
      <c r="N40" s="5">
        <f t="shared" si="0"/>
        <v>9530</v>
      </c>
      <c r="O40" s="4">
        <f t="shared" si="1"/>
        <v>0.24625322997416021</v>
      </c>
      <c r="P40" s="5">
        <f t="shared" si="2"/>
        <v>7430</v>
      </c>
      <c r="Q40" s="4">
        <f t="shared" si="3"/>
        <v>0.20300546448087431</v>
      </c>
      <c r="R40" s="5">
        <f t="shared" si="4"/>
        <v>5330</v>
      </c>
      <c r="S40" s="4">
        <f t="shared" si="5"/>
        <v>0.1544927536231884</v>
      </c>
      <c r="T40" s="5">
        <f t="shared" si="6"/>
        <v>3230</v>
      </c>
      <c r="U40" s="4">
        <f t="shared" si="7"/>
        <v>9.9691358024691354E-2</v>
      </c>
      <c r="V40" s="5">
        <f t="shared" si="8"/>
        <v>1130</v>
      </c>
      <c r="W40" s="4">
        <f t="shared" si="9"/>
        <v>3.7293729372937297E-2</v>
      </c>
    </row>
    <row r="41" spans="1:23" ht="15.75" customHeight="1" x14ac:dyDescent="0.2">
      <c r="A41" s="2" t="s">
        <v>59</v>
      </c>
      <c r="B41" s="2" t="s">
        <v>22</v>
      </c>
      <c r="C41" s="2" t="s">
        <v>24</v>
      </c>
      <c r="D41" s="2" t="s">
        <v>57</v>
      </c>
      <c r="E41" s="2" t="s">
        <v>23</v>
      </c>
      <c r="F41" s="3">
        <f>'Precios Tab Dreamfull-sheets'!$G$10</f>
        <v>29170</v>
      </c>
      <c r="G41" s="3">
        <v>55000</v>
      </c>
      <c r="H41" s="3">
        <v>38700</v>
      </c>
      <c r="I41" s="3">
        <v>38700</v>
      </c>
      <c r="J41" s="3">
        <v>36600</v>
      </c>
      <c r="K41" s="3">
        <v>34500</v>
      </c>
      <c r="L41" s="3">
        <v>32400</v>
      </c>
      <c r="M41" s="3">
        <v>30300</v>
      </c>
      <c r="N41" s="5">
        <f t="shared" si="0"/>
        <v>9530</v>
      </c>
      <c r="O41" s="4">
        <f t="shared" si="1"/>
        <v>0.24625322997416021</v>
      </c>
      <c r="P41" s="5">
        <f t="shared" si="2"/>
        <v>7430</v>
      </c>
      <c r="Q41" s="4">
        <f t="shared" si="3"/>
        <v>0.20300546448087431</v>
      </c>
      <c r="R41" s="5">
        <f t="shared" si="4"/>
        <v>5330</v>
      </c>
      <c r="S41" s="4">
        <f t="shared" si="5"/>
        <v>0.1544927536231884</v>
      </c>
      <c r="T41" s="5">
        <f t="shared" si="6"/>
        <v>3230</v>
      </c>
      <c r="U41" s="4">
        <f t="shared" si="7"/>
        <v>9.9691358024691354E-2</v>
      </c>
      <c r="V41" s="5">
        <f t="shared" si="8"/>
        <v>1130</v>
      </c>
      <c r="W41" s="4">
        <f t="shared" si="9"/>
        <v>3.7293729372937297E-2</v>
      </c>
    </row>
    <row r="42" spans="1:23" ht="15.75" customHeight="1" x14ac:dyDescent="0.2">
      <c r="A42" s="2" t="s">
        <v>59</v>
      </c>
      <c r="B42" s="2" t="s">
        <v>22</v>
      </c>
      <c r="C42" s="2" t="s">
        <v>24</v>
      </c>
      <c r="D42" s="2" t="s">
        <v>60</v>
      </c>
      <c r="E42" s="2" t="s">
        <v>23</v>
      </c>
      <c r="F42" s="3">
        <f>'Precios Tab Dreamfull-sheets'!$G$10</f>
        <v>29170</v>
      </c>
      <c r="G42" s="3">
        <v>55000</v>
      </c>
      <c r="H42" s="3">
        <v>38700</v>
      </c>
      <c r="I42" s="3">
        <v>38700</v>
      </c>
      <c r="J42" s="3">
        <v>36600</v>
      </c>
      <c r="K42" s="3">
        <v>34500</v>
      </c>
      <c r="L42" s="3">
        <v>32400</v>
      </c>
      <c r="M42" s="3">
        <v>30300</v>
      </c>
      <c r="N42" s="5">
        <f t="shared" si="0"/>
        <v>9530</v>
      </c>
      <c r="O42" s="4">
        <f t="shared" si="1"/>
        <v>0.24625322997416021</v>
      </c>
      <c r="P42" s="5">
        <f t="shared" si="2"/>
        <v>7430</v>
      </c>
      <c r="Q42" s="4">
        <f t="shared" si="3"/>
        <v>0.20300546448087431</v>
      </c>
      <c r="R42" s="5">
        <f t="shared" si="4"/>
        <v>5330</v>
      </c>
      <c r="S42" s="4">
        <f t="shared" si="5"/>
        <v>0.1544927536231884</v>
      </c>
      <c r="T42" s="5">
        <f t="shared" si="6"/>
        <v>3230</v>
      </c>
      <c r="U42" s="4">
        <f t="shared" si="7"/>
        <v>9.9691358024691354E-2</v>
      </c>
      <c r="V42" s="5">
        <f t="shared" si="8"/>
        <v>1130</v>
      </c>
      <c r="W42" s="4">
        <f t="shared" si="9"/>
        <v>3.7293729372937297E-2</v>
      </c>
    </row>
    <row r="43" spans="1:23" ht="15.75" customHeight="1" x14ac:dyDescent="0.2">
      <c r="A43" s="2" t="s">
        <v>59</v>
      </c>
      <c r="B43" s="2" t="s">
        <v>22</v>
      </c>
      <c r="C43" s="2" t="s">
        <v>25</v>
      </c>
      <c r="D43" s="2" t="s">
        <v>54</v>
      </c>
      <c r="E43" s="2" t="s">
        <v>23</v>
      </c>
      <c r="F43" s="3">
        <f>'Precios Tab Dreamfull-sheets'!$G$10</f>
        <v>29170</v>
      </c>
      <c r="G43" s="3">
        <v>55000</v>
      </c>
      <c r="H43" s="3">
        <v>38700</v>
      </c>
      <c r="I43" s="3">
        <v>38700</v>
      </c>
      <c r="J43" s="3">
        <v>36600</v>
      </c>
      <c r="K43" s="3">
        <v>34500</v>
      </c>
      <c r="L43" s="3">
        <v>32400</v>
      </c>
      <c r="M43" s="3">
        <v>30300</v>
      </c>
      <c r="N43" s="5">
        <f t="shared" si="0"/>
        <v>9530</v>
      </c>
      <c r="O43" s="4">
        <f t="shared" si="1"/>
        <v>0.24625322997416021</v>
      </c>
      <c r="P43" s="5">
        <f t="shared" si="2"/>
        <v>7430</v>
      </c>
      <c r="Q43" s="4">
        <f t="shared" si="3"/>
        <v>0.20300546448087431</v>
      </c>
      <c r="R43" s="5">
        <f t="shared" si="4"/>
        <v>5330</v>
      </c>
      <c r="S43" s="4">
        <f t="shared" si="5"/>
        <v>0.1544927536231884</v>
      </c>
      <c r="T43" s="5">
        <f t="shared" si="6"/>
        <v>3230</v>
      </c>
      <c r="U43" s="4">
        <f t="shared" si="7"/>
        <v>9.9691358024691354E-2</v>
      </c>
      <c r="V43" s="5">
        <f t="shared" si="8"/>
        <v>1130</v>
      </c>
      <c r="W43" s="4">
        <f t="shared" si="9"/>
        <v>3.7293729372937297E-2</v>
      </c>
    </row>
    <row r="44" spans="1:23" ht="15.75" customHeight="1" x14ac:dyDescent="0.2">
      <c r="A44" s="2" t="s">
        <v>59</v>
      </c>
      <c r="B44" s="2" t="s">
        <v>22</v>
      </c>
      <c r="C44" s="2" t="s">
        <v>25</v>
      </c>
      <c r="D44" s="2" t="s">
        <v>55</v>
      </c>
      <c r="E44" s="2" t="s">
        <v>23</v>
      </c>
      <c r="F44" s="3">
        <f>'Precios Tab Dreamfull-sheets'!$G$10</f>
        <v>29170</v>
      </c>
      <c r="G44" s="3">
        <v>55000</v>
      </c>
      <c r="H44" s="3">
        <v>38700</v>
      </c>
      <c r="I44" s="3">
        <v>38700</v>
      </c>
      <c r="J44" s="3">
        <v>36600</v>
      </c>
      <c r="K44" s="3">
        <v>34500</v>
      </c>
      <c r="L44" s="3">
        <v>32400</v>
      </c>
      <c r="M44" s="3">
        <v>30300</v>
      </c>
      <c r="N44" s="5">
        <f t="shared" si="0"/>
        <v>9530</v>
      </c>
      <c r="O44" s="4">
        <f t="shared" si="1"/>
        <v>0.24625322997416021</v>
      </c>
      <c r="P44" s="5">
        <f t="shared" si="2"/>
        <v>7430</v>
      </c>
      <c r="Q44" s="4">
        <f t="shared" si="3"/>
        <v>0.20300546448087431</v>
      </c>
      <c r="R44" s="5">
        <f t="shared" si="4"/>
        <v>5330</v>
      </c>
      <c r="S44" s="4">
        <f t="shared" si="5"/>
        <v>0.1544927536231884</v>
      </c>
      <c r="T44" s="5">
        <f t="shared" si="6"/>
        <v>3230</v>
      </c>
      <c r="U44" s="4">
        <f t="shared" si="7"/>
        <v>9.9691358024691354E-2</v>
      </c>
      <c r="V44" s="5">
        <f t="shared" si="8"/>
        <v>1130</v>
      </c>
      <c r="W44" s="4">
        <f t="shared" si="9"/>
        <v>3.7293729372937297E-2</v>
      </c>
    </row>
    <row r="45" spans="1:23" ht="15.75" customHeight="1" x14ac:dyDescent="0.2">
      <c r="A45" s="2" t="s">
        <v>59</v>
      </c>
      <c r="B45" s="2" t="s">
        <v>22</v>
      </c>
      <c r="C45" s="2" t="s">
        <v>25</v>
      </c>
      <c r="D45" s="2" t="s">
        <v>56</v>
      </c>
      <c r="E45" s="2" t="s">
        <v>23</v>
      </c>
      <c r="F45" s="3">
        <f>'Precios Tab Dreamfull-sheets'!$G$10</f>
        <v>29170</v>
      </c>
      <c r="G45" s="3">
        <v>55000</v>
      </c>
      <c r="H45" s="3">
        <v>38700</v>
      </c>
      <c r="I45" s="3">
        <v>38700</v>
      </c>
      <c r="J45" s="3">
        <v>36600</v>
      </c>
      <c r="K45" s="3">
        <v>34500</v>
      </c>
      <c r="L45" s="3">
        <v>32400</v>
      </c>
      <c r="M45" s="3">
        <v>30300</v>
      </c>
      <c r="N45" s="5">
        <f t="shared" si="0"/>
        <v>9530</v>
      </c>
      <c r="O45" s="4">
        <f t="shared" si="1"/>
        <v>0.24625322997416021</v>
      </c>
      <c r="P45" s="5">
        <f t="shared" si="2"/>
        <v>7430</v>
      </c>
      <c r="Q45" s="4">
        <f t="shared" si="3"/>
        <v>0.20300546448087431</v>
      </c>
      <c r="R45" s="5">
        <f t="shared" si="4"/>
        <v>5330</v>
      </c>
      <c r="S45" s="4">
        <f t="shared" si="5"/>
        <v>0.1544927536231884</v>
      </c>
      <c r="T45" s="5">
        <f t="shared" si="6"/>
        <v>3230</v>
      </c>
      <c r="U45" s="4">
        <f t="shared" si="7"/>
        <v>9.9691358024691354E-2</v>
      </c>
      <c r="V45" s="5">
        <f t="shared" si="8"/>
        <v>1130</v>
      </c>
      <c r="W45" s="4">
        <f t="shared" si="9"/>
        <v>3.7293729372937297E-2</v>
      </c>
    </row>
    <row r="46" spans="1:23" ht="15.75" customHeight="1" x14ac:dyDescent="0.2">
      <c r="A46" s="2" t="s">
        <v>59</v>
      </c>
      <c r="B46" s="2" t="s">
        <v>22</v>
      </c>
      <c r="C46" s="2" t="s">
        <v>25</v>
      </c>
      <c r="D46" s="2" t="s">
        <v>57</v>
      </c>
      <c r="E46" s="2" t="s">
        <v>23</v>
      </c>
      <c r="F46" s="3">
        <f>'Precios Tab Dreamfull-sheets'!$G$10</f>
        <v>29170</v>
      </c>
      <c r="G46" s="3">
        <v>55000</v>
      </c>
      <c r="H46" s="3">
        <v>38700</v>
      </c>
      <c r="I46" s="3">
        <v>38700</v>
      </c>
      <c r="J46" s="3">
        <v>36600</v>
      </c>
      <c r="K46" s="3">
        <v>34500</v>
      </c>
      <c r="L46" s="3">
        <v>32400</v>
      </c>
      <c r="M46" s="3">
        <v>30300</v>
      </c>
      <c r="N46" s="5">
        <f t="shared" si="0"/>
        <v>9530</v>
      </c>
      <c r="O46" s="4">
        <f t="shared" si="1"/>
        <v>0.24625322997416021</v>
      </c>
      <c r="P46" s="5">
        <f t="shared" si="2"/>
        <v>7430</v>
      </c>
      <c r="Q46" s="4">
        <f t="shared" si="3"/>
        <v>0.20300546448087431</v>
      </c>
      <c r="R46" s="5">
        <f t="shared" si="4"/>
        <v>5330</v>
      </c>
      <c r="S46" s="4">
        <f t="shared" si="5"/>
        <v>0.1544927536231884</v>
      </c>
      <c r="T46" s="5">
        <f t="shared" si="6"/>
        <v>3230</v>
      </c>
      <c r="U46" s="4">
        <f t="shared" si="7"/>
        <v>9.9691358024691354E-2</v>
      </c>
      <c r="V46" s="5">
        <f t="shared" si="8"/>
        <v>1130</v>
      </c>
      <c r="W46" s="4">
        <f t="shared" si="9"/>
        <v>3.7293729372937297E-2</v>
      </c>
    </row>
    <row r="47" spans="1:23" ht="15.75" customHeight="1" x14ac:dyDescent="0.2">
      <c r="A47" s="2" t="s">
        <v>59</v>
      </c>
      <c r="B47" s="2" t="s">
        <v>22</v>
      </c>
      <c r="C47" s="2" t="s">
        <v>25</v>
      </c>
      <c r="D47" s="2" t="s">
        <v>60</v>
      </c>
      <c r="E47" s="2" t="s">
        <v>23</v>
      </c>
      <c r="F47" s="3">
        <f>'Precios Tab Dreamfull-sheets'!$G$10</f>
        <v>29170</v>
      </c>
      <c r="G47" s="3">
        <v>55000</v>
      </c>
      <c r="H47" s="3">
        <v>38700</v>
      </c>
      <c r="I47" s="3">
        <v>38700</v>
      </c>
      <c r="J47" s="3">
        <v>36600</v>
      </c>
      <c r="K47" s="3">
        <v>34500</v>
      </c>
      <c r="L47" s="3">
        <v>32400</v>
      </c>
      <c r="M47" s="3">
        <v>30300</v>
      </c>
      <c r="N47" s="5">
        <f t="shared" si="0"/>
        <v>9530</v>
      </c>
      <c r="O47" s="4">
        <f t="shared" si="1"/>
        <v>0.24625322997416021</v>
      </c>
      <c r="P47" s="5">
        <f t="shared" si="2"/>
        <v>7430</v>
      </c>
      <c r="Q47" s="4">
        <f t="shared" si="3"/>
        <v>0.20300546448087431</v>
      </c>
      <c r="R47" s="5">
        <f t="shared" si="4"/>
        <v>5330</v>
      </c>
      <c r="S47" s="4">
        <f t="shared" si="5"/>
        <v>0.1544927536231884</v>
      </c>
      <c r="T47" s="5">
        <f t="shared" si="6"/>
        <v>3230</v>
      </c>
      <c r="U47" s="4">
        <f t="shared" si="7"/>
        <v>9.9691358024691354E-2</v>
      </c>
      <c r="V47" s="5">
        <f t="shared" si="8"/>
        <v>1130</v>
      </c>
      <c r="W47" s="4">
        <f t="shared" si="9"/>
        <v>3.7293729372937297E-2</v>
      </c>
    </row>
    <row r="48" spans="1:23" ht="15.75" customHeight="1" x14ac:dyDescent="0.2">
      <c r="A48" s="2" t="s">
        <v>59</v>
      </c>
      <c r="B48" s="2" t="s">
        <v>22</v>
      </c>
      <c r="C48" s="2" t="s">
        <v>26</v>
      </c>
      <c r="D48" s="2" t="s">
        <v>54</v>
      </c>
      <c r="E48" s="2" t="s">
        <v>23</v>
      </c>
      <c r="F48" s="3">
        <f>'Precios Tab Dreamfull-sheets'!$G$10</f>
        <v>29170</v>
      </c>
      <c r="G48" s="3">
        <v>55000</v>
      </c>
      <c r="H48" s="3">
        <v>38700</v>
      </c>
      <c r="I48" s="3">
        <v>38700</v>
      </c>
      <c r="J48" s="3">
        <v>36600</v>
      </c>
      <c r="K48" s="3">
        <v>34500</v>
      </c>
      <c r="L48" s="3">
        <v>32400</v>
      </c>
      <c r="M48" s="3">
        <v>30300</v>
      </c>
      <c r="N48" s="5">
        <f t="shared" si="0"/>
        <v>9530</v>
      </c>
      <c r="O48" s="4">
        <f t="shared" si="1"/>
        <v>0.24625322997416021</v>
      </c>
      <c r="P48" s="5">
        <f t="shared" si="2"/>
        <v>7430</v>
      </c>
      <c r="Q48" s="4">
        <f t="shared" si="3"/>
        <v>0.20300546448087431</v>
      </c>
      <c r="R48" s="5">
        <f t="shared" si="4"/>
        <v>5330</v>
      </c>
      <c r="S48" s="4">
        <f t="shared" si="5"/>
        <v>0.1544927536231884</v>
      </c>
      <c r="T48" s="5">
        <f t="shared" si="6"/>
        <v>3230</v>
      </c>
      <c r="U48" s="4">
        <f t="shared" si="7"/>
        <v>9.9691358024691354E-2</v>
      </c>
      <c r="V48" s="5">
        <f t="shared" si="8"/>
        <v>1130</v>
      </c>
      <c r="W48" s="4">
        <f t="shared" si="9"/>
        <v>3.7293729372937297E-2</v>
      </c>
    </row>
    <row r="49" spans="1:23" ht="15.75" customHeight="1" x14ac:dyDescent="0.2">
      <c r="A49" s="2" t="s">
        <v>59</v>
      </c>
      <c r="B49" s="2" t="s">
        <v>22</v>
      </c>
      <c r="C49" s="2" t="s">
        <v>26</v>
      </c>
      <c r="D49" s="2" t="s">
        <v>55</v>
      </c>
      <c r="E49" s="2" t="s">
        <v>23</v>
      </c>
      <c r="F49" s="3">
        <f>'Precios Tab Dreamfull-sheets'!$G$10</f>
        <v>29170</v>
      </c>
      <c r="G49" s="3">
        <v>55000</v>
      </c>
      <c r="H49" s="3">
        <v>38700</v>
      </c>
      <c r="I49" s="3">
        <v>38700</v>
      </c>
      <c r="J49" s="3">
        <v>36600</v>
      </c>
      <c r="K49" s="3">
        <v>34500</v>
      </c>
      <c r="L49" s="3">
        <v>32400</v>
      </c>
      <c r="M49" s="3">
        <v>30300</v>
      </c>
      <c r="N49" s="5">
        <f t="shared" si="0"/>
        <v>9530</v>
      </c>
      <c r="O49" s="4">
        <f t="shared" si="1"/>
        <v>0.24625322997416021</v>
      </c>
      <c r="P49" s="5">
        <f t="shared" si="2"/>
        <v>7430</v>
      </c>
      <c r="Q49" s="4">
        <f t="shared" si="3"/>
        <v>0.20300546448087431</v>
      </c>
      <c r="R49" s="5">
        <f t="shared" si="4"/>
        <v>5330</v>
      </c>
      <c r="S49" s="4">
        <f t="shared" si="5"/>
        <v>0.1544927536231884</v>
      </c>
      <c r="T49" s="5">
        <f t="shared" si="6"/>
        <v>3230</v>
      </c>
      <c r="U49" s="4">
        <f t="shared" si="7"/>
        <v>9.9691358024691354E-2</v>
      </c>
      <c r="V49" s="5">
        <f t="shared" si="8"/>
        <v>1130</v>
      </c>
      <c r="W49" s="4">
        <f t="shared" si="9"/>
        <v>3.7293729372937297E-2</v>
      </c>
    </row>
    <row r="50" spans="1:23" ht="15.75" customHeight="1" x14ac:dyDescent="0.2">
      <c r="A50" s="2" t="s">
        <v>59</v>
      </c>
      <c r="B50" s="2" t="s">
        <v>22</v>
      </c>
      <c r="C50" s="2" t="s">
        <v>26</v>
      </c>
      <c r="D50" s="2" t="s">
        <v>56</v>
      </c>
      <c r="E50" s="2" t="s">
        <v>23</v>
      </c>
      <c r="F50" s="3">
        <f>'Precios Tab Dreamfull-sheets'!$G$10</f>
        <v>29170</v>
      </c>
      <c r="G50" s="3">
        <v>55000</v>
      </c>
      <c r="H50" s="3">
        <v>38700</v>
      </c>
      <c r="I50" s="3">
        <v>38700</v>
      </c>
      <c r="J50" s="3">
        <v>36600</v>
      </c>
      <c r="K50" s="3">
        <v>34500</v>
      </c>
      <c r="L50" s="3">
        <v>32400</v>
      </c>
      <c r="M50" s="3">
        <v>30300</v>
      </c>
      <c r="N50" s="5">
        <f t="shared" si="0"/>
        <v>9530</v>
      </c>
      <c r="O50" s="4">
        <f t="shared" si="1"/>
        <v>0.24625322997416021</v>
      </c>
      <c r="P50" s="5">
        <f t="shared" si="2"/>
        <v>7430</v>
      </c>
      <c r="Q50" s="4">
        <f t="shared" si="3"/>
        <v>0.20300546448087431</v>
      </c>
      <c r="R50" s="5">
        <f t="shared" si="4"/>
        <v>5330</v>
      </c>
      <c r="S50" s="4">
        <f t="shared" si="5"/>
        <v>0.1544927536231884</v>
      </c>
      <c r="T50" s="5">
        <f t="shared" si="6"/>
        <v>3230</v>
      </c>
      <c r="U50" s="4">
        <f t="shared" si="7"/>
        <v>9.9691358024691354E-2</v>
      </c>
      <c r="V50" s="5">
        <f t="shared" si="8"/>
        <v>1130</v>
      </c>
      <c r="W50" s="4">
        <f t="shared" si="9"/>
        <v>3.7293729372937297E-2</v>
      </c>
    </row>
    <row r="51" spans="1:23" ht="15.75" customHeight="1" x14ac:dyDescent="0.2">
      <c r="A51" s="2" t="s">
        <v>59</v>
      </c>
      <c r="B51" s="2" t="s">
        <v>22</v>
      </c>
      <c r="C51" s="2" t="s">
        <v>26</v>
      </c>
      <c r="D51" s="2" t="s">
        <v>57</v>
      </c>
      <c r="E51" s="2" t="s">
        <v>23</v>
      </c>
      <c r="F51" s="3">
        <f>'Precios Tab Dreamfull-sheets'!$G$10</f>
        <v>29170</v>
      </c>
      <c r="G51" s="3">
        <v>55000</v>
      </c>
      <c r="H51" s="3">
        <v>38700</v>
      </c>
      <c r="I51" s="3">
        <v>38700</v>
      </c>
      <c r="J51" s="3">
        <v>36600</v>
      </c>
      <c r="K51" s="3">
        <v>34500</v>
      </c>
      <c r="L51" s="3">
        <v>32400</v>
      </c>
      <c r="M51" s="3">
        <v>30300</v>
      </c>
      <c r="N51" s="5">
        <f t="shared" si="0"/>
        <v>9530</v>
      </c>
      <c r="O51" s="4">
        <f t="shared" si="1"/>
        <v>0.24625322997416021</v>
      </c>
      <c r="P51" s="5">
        <f t="shared" si="2"/>
        <v>7430</v>
      </c>
      <c r="Q51" s="4">
        <f t="shared" si="3"/>
        <v>0.20300546448087431</v>
      </c>
      <c r="R51" s="5">
        <f t="shared" si="4"/>
        <v>5330</v>
      </c>
      <c r="S51" s="4">
        <f t="shared" si="5"/>
        <v>0.1544927536231884</v>
      </c>
      <c r="T51" s="5">
        <f t="shared" si="6"/>
        <v>3230</v>
      </c>
      <c r="U51" s="4">
        <f t="shared" si="7"/>
        <v>9.9691358024691354E-2</v>
      </c>
      <c r="V51" s="5">
        <f t="shared" si="8"/>
        <v>1130</v>
      </c>
      <c r="W51" s="4">
        <f t="shared" si="9"/>
        <v>3.7293729372937297E-2</v>
      </c>
    </row>
    <row r="52" spans="1:23" ht="15.75" customHeight="1" x14ac:dyDescent="0.2">
      <c r="A52" s="2" t="s">
        <v>59</v>
      </c>
      <c r="B52" s="2" t="s">
        <v>22</v>
      </c>
      <c r="C52" s="2" t="s">
        <v>26</v>
      </c>
      <c r="D52" s="2" t="s">
        <v>60</v>
      </c>
      <c r="E52" s="2" t="s">
        <v>23</v>
      </c>
      <c r="F52" s="3">
        <f>'Precios Tab Dreamfull-sheets'!$G$10</f>
        <v>29170</v>
      </c>
      <c r="G52" s="3">
        <v>55000</v>
      </c>
      <c r="H52" s="3">
        <v>38700</v>
      </c>
      <c r="I52" s="3">
        <v>38700</v>
      </c>
      <c r="J52" s="3">
        <v>36600</v>
      </c>
      <c r="K52" s="3">
        <v>34500</v>
      </c>
      <c r="L52" s="3">
        <v>32400</v>
      </c>
      <c r="M52" s="3">
        <v>30300</v>
      </c>
      <c r="N52" s="5">
        <f t="shared" si="0"/>
        <v>9530</v>
      </c>
      <c r="O52" s="4">
        <f t="shared" si="1"/>
        <v>0.24625322997416021</v>
      </c>
      <c r="P52" s="5">
        <f t="shared" si="2"/>
        <v>7430</v>
      </c>
      <c r="Q52" s="4">
        <f t="shared" si="3"/>
        <v>0.20300546448087431</v>
      </c>
      <c r="R52" s="5">
        <f t="shared" si="4"/>
        <v>5330</v>
      </c>
      <c r="S52" s="4">
        <f t="shared" si="5"/>
        <v>0.1544927536231884</v>
      </c>
      <c r="T52" s="5">
        <f t="shared" si="6"/>
        <v>3230</v>
      </c>
      <c r="U52" s="4">
        <f t="shared" si="7"/>
        <v>9.9691358024691354E-2</v>
      </c>
      <c r="V52" s="5">
        <f t="shared" si="8"/>
        <v>1130</v>
      </c>
      <c r="W52" s="4">
        <f t="shared" si="9"/>
        <v>3.7293729372937297E-2</v>
      </c>
    </row>
    <row r="53" spans="1:23" ht="15.75" customHeight="1" x14ac:dyDescent="0.2">
      <c r="A53" s="2" t="s">
        <v>61</v>
      </c>
      <c r="B53" s="2" t="s">
        <v>27</v>
      </c>
      <c r="C53" s="2" t="s">
        <v>18</v>
      </c>
      <c r="D53" s="2" t="s">
        <v>62</v>
      </c>
      <c r="E53" s="2" t="s">
        <v>28</v>
      </c>
      <c r="F53" s="3">
        <f>'Precios Tab Dreamfull-sheets'!$G$18</f>
        <v>19000</v>
      </c>
      <c r="G53" s="3">
        <v>31000</v>
      </c>
      <c r="H53" s="3">
        <v>25400</v>
      </c>
      <c r="I53" s="3">
        <v>25400</v>
      </c>
      <c r="J53" s="3">
        <v>24700</v>
      </c>
      <c r="K53" s="3">
        <v>24000</v>
      </c>
      <c r="L53" s="3">
        <v>23200</v>
      </c>
      <c r="M53" s="3">
        <v>22500</v>
      </c>
      <c r="N53" s="5">
        <f t="shared" si="0"/>
        <v>6400</v>
      </c>
      <c r="O53" s="4">
        <f t="shared" si="1"/>
        <v>0.25196850393700787</v>
      </c>
      <c r="P53" s="5">
        <f t="shared" si="2"/>
        <v>5700</v>
      </c>
      <c r="Q53" s="4">
        <f t="shared" si="3"/>
        <v>0.23076923076923078</v>
      </c>
      <c r="R53" s="5">
        <f t="shared" si="4"/>
        <v>5000</v>
      </c>
      <c r="S53" s="4">
        <f t="shared" si="5"/>
        <v>0.20833333333333334</v>
      </c>
      <c r="T53" s="5">
        <f t="shared" si="6"/>
        <v>4200</v>
      </c>
      <c r="U53" s="4">
        <f t="shared" si="7"/>
        <v>0.18103448275862069</v>
      </c>
      <c r="V53" s="5">
        <f t="shared" si="8"/>
        <v>3500</v>
      </c>
      <c r="W53" s="4">
        <f t="shared" si="9"/>
        <v>0.15555555555555556</v>
      </c>
    </row>
    <row r="54" spans="1:23" ht="15.75" customHeight="1" x14ac:dyDescent="0.2">
      <c r="A54" s="2" t="s">
        <v>61</v>
      </c>
      <c r="B54" s="2" t="s">
        <v>27</v>
      </c>
      <c r="C54" s="2" t="s">
        <v>18</v>
      </c>
      <c r="D54" s="2" t="s">
        <v>53</v>
      </c>
      <c r="E54" s="2" t="s">
        <v>28</v>
      </c>
      <c r="F54" s="3">
        <f>'Precios Tab Dreamfull-sheets'!$G$18</f>
        <v>19000</v>
      </c>
      <c r="G54" s="3">
        <v>31000</v>
      </c>
      <c r="H54" s="3">
        <v>25400</v>
      </c>
      <c r="I54" s="3">
        <v>25400</v>
      </c>
      <c r="J54" s="3">
        <v>24700</v>
      </c>
      <c r="K54" s="3">
        <v>24000</v>
      </c>
      <c r="L54" s="3">
        <v>23200</v>
      </c>
      <c r="M54" s="3">
        <v>22500</v>
      </c>
      <c r="N54" s="5">
        <f t="shared" si="0"/>
        <v>6400</v>
      </c>
      <c r="O54" s="4">
        <f t="shared" si="1"/>
        <v>0.25196850393700787</v>
      </c>
      <c r="P54" s="5">
        <f t="shared" si="2"/>
        <v>5700</v>
      </c>
      <c r="Q54" s="4">
        <f t="shared" si="3"/>
        <v>0.23076923076923078</v>
      </c>
      <c r="R54" s="5">
        <f t="shared" si="4"/>
        <v>5000</v>
      </c>
      <c r="S54" s="4">
        <f t="shared" si="5"/>
        <v>0.20833333333333334</v>
      </c>
      <c r="T54" s="5">
        <f t="shared" si="6"/>
        <v>4200</v>
      </c>
      <c r="U54" s="4">
        <f t="shared" si="7"/>
        <v>0.18103448275862069</v>
      </c>
      <c r="V54" s="5">
        <f t="shared" si="8"/>
        <v>3500</v>
      </c>
      <c r="W54" s="4">
        <f t="shared" si="9"/>
        <v>0.15555555555555556</v>
      </c>
    </row>
    <row r="55" spans="1:23" ht="15.75" customHeight="1" x14ac:dyDescent="0.2">
      <c r="A55" s="2" t="s">
        <v>61</v>
      </c>
      <c r="B55" s="2" t="s">
        <v>27</v>
      </c>
      <c r="C55" s="2" t="s">
        <v>18</v>
      </c>
      <c r="D55" s="2" t="s">
        <v>54</v>
      </c>
      <c r="E55" s="2" t="s">
        <v>28</v>
      </c>
      <c r="F55" s="3">
        <f>'Precios Tab Dreamfull-sheets'!$G$18</f>
        <v>19000</v>
      </c>
      <c r="G55" s="3">
        <v>31000</v>
      </c>
      <c r="H55" s="3">
        <v>25400</v>
      </c>
      <c r="I55" s="3">
        <v>25400</v>
      </c>
      <c r="J55" s="3">
        <v>24700</v>
      </c>
      <c r="K55" s="3">
        <v>24000</v>
      </c>
      <c r="L55" s="3">
        <v>23200</v>
      </c>
      <c r="M55" s="3">
        <v>22500</v>
      </c>
      <c r="N55" s="5">
        <f t="shared" si="0"/>
        <v>6400</v>
      </c>
      <c r="O55" s="4">
        <f t="shared" si="1"/>
        <v>0.25196850393700787</v>
      </c>
      <c r="P55" s="5">
        <f t="shared" si="2"/>
        <v>5700</v>
      </c>
      <c r="Q55" s="4">
        <f t="shared" si="3"/>
        <v>0.23076923076923078</v>
      </c>
      <c r="R55" s="5">
        <f t="shared" si="4"/>
        <v>5000</v>
      </c>
      <c r="S55" s="4">
        <f t="shared" si="5"/>
        <v>0.20833333333333334</v>
      </c>
      <c r="T55" s="5">
        <f t="shared" si="6"/>
        <v>4200</v>
      </c>
      <c r="U55" s="4">
        <f t="shared" si="7"/>
        <v>0.18103448275862069</v>
      </c>
      <c r="V55" s="5">
        <f t="shared" si="8"/>
        <v>3500</v>
      </c>
      <c r="W55" s="4">
        <f t="shared" si="9"/>
        <v>0.15555555555555556</v>
      </c>
    </row>
    <row r="56" spans="1:23" ht="15.75" customHeight="1" x14ac:dyDescent="0.2">
      <c r="A56" s="2" t="s">
        <v>61</v>
      </c>
      <c r="B56" s="2" t="s">
        <v>27</v>
      </c>
      <c r="C56" s="2" t="s">
        <v>18</v>
      </c>
      <c r="D56" s="2" t="s">
        <v>55</v>
      </c>
      <c r="E56" s="2" t="s">
        <v>28</v>
      </c>
      <c r="F56" s="3">
        <f>'Precios Tab Dreamfull-sheets'!$G$18</f>
        <v>19000</v>
      </c>
      <c r="G56" s="3">
        <v>31000</v>
      </c>
      <c r="H56" s="3">
        <v>25400</v>
      </c>
      <c r="I56" s="3">
        <v>25400</v>
      </c>
      <c r="J56" s="3">
        <v>24700</v>
      </c>
      <c r="K56" s="3">
        <v>24000</v>
      </c>
      <c r="L56" s="3">
        <v>23200</v>
      </c>
      <c r="M56" s="3">
        <v>22500</v>
      </c>
      <c r="N56" s="5">
        <f t="shared" si="0"/>
        <v>6400</v>
      </c>
      <c r="O56" s="4">
        <f t="shared" si="1"/>
        <v>0.25196850393700787</v>
      </c>
      <c r="P56" s="5">
        <f t="shared" si="2"/>
        <v>5700</v>
      </c>
      <c r="Q56" s="4">
        <f t="shared" si="3"/>
        <v>0.23076923076923078</v>
      </c>
      <c r="R56" s="5">
        <f t="shared" si="4"/>
        <v>5000</v>
      </c>
      <c r="S56" s="4">
        <f t="shared" si="5"/>
        <v>0.20833333333333334</v>
      </c>
      <c r="T56" s="5">
        <f t="shared" si="6"/>
        <v>4200</v>
      </c>
      <c r="U56" s="4">
        <f t="shared" si="7"/>
        <v>0.18103448275862069</v>
      </c>
      <c r="V56" s="5">
        <f t="shared" si="8"/>
        <v>3500</v>
      </c>
      <c r="W56" s="4">
        <f t="shared" si="9"/>
        <v>0.15555555555555556</v>
      </c>
    </row>
    <row r="57" spans="1:23" ht="15.75" customHeight="1" x14ac:dyDescent="0.2">
      <c r="A57" s="2" t="s">
        <v>61</v>
      </c>
      <c r="B57" s="2" t="s">
        <v>27</v>
      </c>
      <c r="C57" s="2" t="s">
        <v>18</v>
      </c>
      <c r="D57" s="2" t="s">
        <v>56</v>
      </c>
      <c r="E57" s="2" t="s">
        <v>28</v>
      </c>
      <c r="F57" s="3">
        <f>'Precios Tab Dreamfull-sheets'!$G$18</f>
        <v>19000</v>
      </c>
      <c r="G57" s="3">
        <v>31000</v>
      </c>
      <c r="H57" s="3">
        <v>25400</v>
      </c>
      <c r="I57" s="3">
        <v>25400</v>
      </c>
      <c r="J57" s="3">
        <v>24700</v>
      </c>
      <c r="K57" s="3">
        <v>24000</v>
      </c>
      <c r="L57" s="3">
        <v>23200</v>
      </c>
      <c r="M57" s="3">
        <v>22500</v>
      </c>
      <c r="N57" s="5">
        <f t="shared" si="0"/>
        <v>6400</v>
      </c>
      <c r="O57" s="4">
        <f t="shared" si="1"/>
        <v>0.25196850393700787</v>
      </c>
      <c r="P57" s="5">
        <f t="shared" si="2"/>
        <v>5700</v>
      </c>
      <c r="Q57" s="4">
        <f t="shared" si="3"/>
        <v>0.23076923076923078</v>
      </c>
      <c r="R57" s="5">
        <f t="shared" si="4"/>
        <v>5000</v>
      </c>
      <c r="S57" s="4">
        <f t="shared" si="5"/>
        <v>0.20833333333333334</v>
      </c>
      <c r="T57" s="5">
        <f t="shared" si="6"/>
        <v>4200</v>
      </c>
      <c r="U57" s="4">
        <f t="shared" si="7"/>
        <v>0.18103448275862069</v>
      </c>
      <c r="V57" s="5">
        <f t="shared" si="8"/>
        <v>3500</v>
      </c>
      <c r="W57" s="4">
        <f t="shared" si="9"/>
        <v>0.15555555555555556</v>
      </c>
    </row>
    <row r="58" spans="1:23" ht="15.75" customHeight="1" x14ac:dyDescent="0.2">
      <c r="A58" s="2" t="s">
        <v>61</v>
      </c>
      <c r="B58" s="2" t="s">
        <v>27</v>
      </c>
      <c r="C58" s="2" t="s">
        <v>18</v>
      </c>
      <c r="D58" s="2" t="s">
        <v>57</v>
      </c>
      <c r="E58" s="2" t="s">
        <v>28</v>
      </c>
      <c r="F58" s="3">
        <f>'Precios Tab Dreamfull-sheets'!$G$18</f>
        <v>19000</v>
      </c>
      <c r="G58" s="3">
        <v>31000</v>
      </c>
      <c r="H58" s="3">
        <v>25400</v>
      </c>
      <c r="I58" s="3">
        <v>25400</v>
      </c>
      <c r="J58" s="3">
        <v>24700</v>
      </c>
      <c r="K58" s="3">
        <v>24000</v>
      </c>
      <c r="L58" s="3">
        <v>23200</v>
      </c>
      <c r="M58" s="3">
        <v>22500</v>
      </c>
      <c r="N58" s="5">
        <f t="shared" si="0"/>
        <v>6400</v>
      </c>
      <c r="O58" s="4">
        <f t="shared" si="1"/>
        <v>0.25196850393700787</v>
      </c>
      <c r="P58" s="5">
        <f t="shared" si="2"/>
        <v>5700</v>
      </c>
      <c r="Q58" s="4">
        <f t="shared" si="3"/>
        <v>0.23076923076923078</v>
      </c>
      <c r="R58" s="5">
        <f t="shared" si="4"/>
        <v>5000</v>
      </c>
      <c r="S58" s="4">
        <f t="shared" si="5"/>
        <v>0.20833333333333334</v>
      </c>
      <c r="T58" s="5">
        <f t="shared" si="6"/>
        <v>4200</v>
      </c>
      <c r="U58" s="4">
        <f t="shared" si="7"/>
        <v>0.18103448275862069</v>
      </c>
      <c r="V58" s="5">
        <f t="shared" si="8"/>
        <v>3500</v>
      </c>
      <c r="W58" s="4">
        <f t="shared" si="9"/>
        <v>0.15555555555555556</v>
      </c>
    </row>
    <row r="59" spans="1:23" ht="15.75" customHeight="1" x14ac:dyDescent="0.2">
      <c r="A59" s="2" t="s">
        <v>61</v>
      </c>
      <c r="B59" s="2" t="s">
        <v>27</v>
      </c>
      <c r="C59" s="2" t="s">
        <v>18</v>
      </c>
      <c r="D59" s="2" t="s">
        <v>58</v>
      </c>
      <c r="E59" s="2" t="s">
        <v>28</v>
      </c>
      <c r="F59" s="3">
        <f>'Precios Tab Dreamfull-sheets'!$G$18</f>
        <v>19000</v>
      </c>
      <c r="G59" s="3">
        <v>31000</v>
      </c>
      <c r="H59" s="3">
        <v>25400</v>
      </c>
      <c r="I59" s="3">
        <v>25400</v>
      </c>
      <c r="J59" s="3">
        <v>24700</v>
      </c>
      <c r="K59" s="3">
        <v>24000</v>
      </c>
      <c r="L59" s="3">
        <v>23200</v>
      </c>
      <c r="M59" s="3">
        <v>22500</v>
      </c>
      <c r="N59" s="5">
        <f t="shared" si="0"/>
        <v>6400</v>
      </c>
      <c r="O59" s="4">
        <f t="shared" si="1"/>
        <v>0.25196850393700787</v>
      </c>
      <c r="P59" s="5">
        <f t="shared" si="2"/>
        <v>5700</v>
      </c>
      <c r="Q59" s="4">
        <f t="shared" si="3"/>
        <v>0.23076923076923078</v>
      </c>
      <c r="R59" s="5">
        <f t="shared" si="4"/>
        <v>5000</v>
      </c>
      <c r="S59" s="4">
        <f t="shared" si="5"/>
        <v>0.20833333333333334</v>
      </c>
      <c r="T59" s="5">
        <f t="shared" si="6"/>
        <v>4200</v>
      </c>
      <c r="U59" s="4">
        <f t="shared" si="7"/>
        <v>0.18103448275862069</v>
      </c>
      <c r="V59" s="5">
        <f t="shared" si="8"/>
        <v>3500</v>
      </c>
      <c r="W59" s="4">
        <f t="shared" si="9"/>
        <v>0.15555555555555556</v>
      </c>
    </row>
    <row r="60" spans="1:23" ht="15.75" customHeight="1" x14ac:dyDescent="0.2">
      <c r="A60" s="2" t="s">
        <v>61</v>
      </c>
      <c r="B60" s="2" t="s">
        <v>27</v>
      </c>
      <c r="C60" s="2" t="s">
        <v>24</v>
      </c>
      <c r="D60" s="2" t="s">
        <v>54</v>
      </c>
      <c r="E60" s="2" t="s">
        <v>28</v>
      </c>
      <c r="F60" s="3">
        <f>'Precios Tab Dreamfull-sheets'!$G$19</f>
        <v>23070</v>
      </c>
      <c r="G60" s="3">
        <v>31000</v>
      </c>
      <c r="H60" s="3">
        <v>25400</v>
      </c>
      <c r="I60" s="3">
        <v>25400</v>
      </c>
      <c r="J60" s="3">
        <v>24700</v>
      </c>
      <c r="K60" s="3">
        <v>24000</v>
      </c>
      <c r="L60" s="3">
        <v>23200</v>
      </c>
      <c r="M60" s="3">
        <f t="shared" ref="M60:M74" si="10">ROUND($F60*1.04,-2)</f>
        <v>24000</v>
      </c>
      <c r="N60" s="5">
        <f t="shared" si="0"/>
        <v>2330</v>
      </c>
      <c r="O60" s="4">
        <f t="shared" si="1"/>
        <v>9.1732283464566924E-2</v>
      </c>
      <c r="P60" s="5">
        <f t="shared" si="2"/>
        <v>1630</v>
      </c>
      <c r="Q60" s="4">
        <f t="shared" si="3"/>
        <v>6.5991902834008104E-2</v>
      </c>
      <c r="R60" s="5">
        <f t="shared" si="4"/>
        <v>930</v>
      </c>
      <c r="S60" s="4">
        <f t="shared" si="5"/>
        <v>3.875E-2</v>
      </c>
      <c r="T60" s="5">
        <f t="shared" si="6"/>
        <v>130</v>
      </c>
      <c r="U60" s="4">
        <f t="shared" si="7"/>
        <v>5.6034482758620689E-3</v>
      </c>
      <c r="V60" s="5">
        <f t="shared" si="8"/>
        <v>930</v>
      </c>
      <c r="W60" s="4">
        <f t="shared" si="9"/>
        <v>3.875E-2</v>
      </c>
    </row>
    <row r="61" spans="1:23" ht="15.75" customHeight="1" x14ac:dyDescent="0.2">
      <c r="A61" s="2" t="s">
        <v>61</v>
      </c>
      <c r="B61" s="2" t="s">
        <v>27</v>
      </c>
      <c r="C61" s="2" t="s">
        <v>24</v>
      </c>
      <c r="D61" s="2" t="s">
        <v>55</v>
      </c>
      <c r="E61" s="2" t="s">
        <v>28</v>
      </c>
      <c r="F61" s="3">
        <f>'Precios Tab Dreamfull-sheets'!$G$19</f>
        <v>23070</v>
      </c>
      <c r="G61" s="3">
        <v>31000</v>
      </c>
      <c r="H61" s="3">
        <v>25400</v>
      </c>
      <c r="I61" s="3">
        <v>25400</v>
      </c>
      <c r="J61" s="3">
        <v>24700</v>
      </c>
      <c r="K61" s="3">
        <v>24000</v>
      </c>
      <c r="L61" s="3">
        <v>23200</v>
      </c>
      <c r="M61" s="3">
        <f t="shared" si="10"/>
        <v>24000</v>
      </c>
      <c r="N61" s="5">
        <f t="shared" si="0"/>
        <v>2330</v>
      </c>
      <c r="O61" s="4">
        <f t="shared" si="1"/>
        <v>9.1732283464566924E-2</v>
      </c>
      <c r="P61" s="5">
        <f t="shared" si="2"/>
        <v>1630</v>
      </c>
      <c r="Q61" s="4">
        <f t="shared" si="3"/>
        <v>6.5991902834008104E-2</v>
      </c>
      <c r="R61" s="5">
        <f t="shared" si="4"/>
        <v>930</v>
      </c>
      <c r="S61" s="4">
        <f t="shared" si="5"/>
        <v>3.875E-2</v>
      </c>
      <c r="T61" s="5">
        <f t="shared" si="6"/>
        <v>130</v>
      </c>
      <c r="U61" s="4">
        <f t="shared" si="7"/>
        <v>5.6034482758620689E-3</v>
      </c>
      <c r="V61" s="5">
        <f t="shared" si="8"/>
        <v>930</v>
      </c>
      <c r="W61" s="4">
        <f t="shared" si="9"/>
        <v>3.875E-2</v>
      </c>
    </row>
    <row r="62" spans="1:23" ht="15.75" customHeight="1" x14ac:dyDescent="0.2">
      <c r="A62" s="2" t="s">
        <v>61</v>
      </c>
      <c r="B62" s="2" t="s">
        <v>27</v>
      </c>
      <c r="C62" s="2" t="s">
        <v>24</v>
      </c>
      <c r="D62" s="2" t="s">
        <v>56</v>
      </c>
      <c r="E62" s="2" t="s">
        <v>28</v>
      </c>
      <c r="F62" s="3">
        <f>'Precios Tab Dreamfull-sheets'!$G$19</f>
        <v>23070</v>
      </c>
      <c r="G62" s="3">
        <v>31000</v>
      </c>
      <c r="H62" s="3">
        <v>25400</v>
      </c>
      <c r="I62" s="3">
        <v>25400</v>
      </c>
      <c r="J62" s="3">
        <v>24700</v>
      </c>
      <c r="K62" s="3">
        <v>24000</v>
      </c>
      <c r="L62" s="3">
        <v>23200</v>
      </c>
      <c r="M62" s="3">
        <f t="shared" si="10"/>
        <v>24000</v>
      </c>
      <c r="N62" s="5">
        <f t="shared" si="0"/>
        <v>2330</v>
      </c>
      <c r="O62" s="4">
        <f t="shared" si="1"/>
        <v>9.1732283464566924E-2</v>
      </c>
      <c r="P62" s="5">
        <f t="shared" si="2"/>
        <v>1630</v>
      </c>
      <c r="Q62" s="4">
        <f t="shared" si="3"/>
        <v>6.5991902834008104E-2</v>
      </c>
      <c r="R62" s="5">
        <f t="shared" si="4"/>
        <v>930</v>
      </c>
      <c r="S62" s="4">
        <f t="shared" si="5"/>
        <v>3.875E-2</v>
      </c>
      <c r="T62" s="5">
        <f t="shared" si="6"/>
        <v>130</v>
      </c>
      <c r="U62" s="4">
        <f t="shared" si="7"/>
        <v>5.6034482758620689E-3</v>
      </c>
      <c r="V62" s="5">
        <f t="shared" si="8"/>
        <v>930</v>
      </c>
      <c r="W62" s="4">
        <f t="shared" si="9"/>
        <v>3.875E-2</v>
      </c>
    </row>
    <row r="63" spans="1:23" ht="15.75" customHeight="1" x14ac:dyDescent="0.2">
      <c r="A63" s="2" t="s">
        <v>61</v>
      </c>
      <c r="B63" s="2" t="s">
        <v>27</v>
      </c>
      <c r="C63" s="2" t="s">
        <v>24</v>
      </c>
      <c r="D63" s="2" t="s">
        <v>57</v>
      </c>
      <c r="E63" s="2" t="s">
        <v>28</v>
      </c>
      <c r="F63" s="3">
        <f>'Precios Tab Dreamfull-sheets'!$G$19</f>
        <v>23070</v>
      </c>
      <c r="G63" s="3">
        <v>31000</v>
      </c>
      <c r="H63" s="3">
        <v>25400</v>
      </c>
      <c r="I63" s="3">
        <v>25400</v>
      </c>
      <c r="J63" s="3">
        <v>24700</v>
      </c>
      <c r="K63" s="3">
        <v>24000</v>
      </c>
      <c r="L63" s="3">
        <v>23200</v>
      </c>
      <c r="M63" s="3">
        <f t="shared" si="10"/>
        <v>24000</v>
      </c>
      <c r="N63" s="5">
        <f t="shared" si="0"/>
        <v>2330</v>
      </c>
      <c r="O63" s="4">
        <f t="shared" si="1"/>
        <v>9.1732283464566924E-2</v>
      </c>
      <c r="P63" s="5">
        <f t="shared" si="2"/>
        <v>1630</v>
      </c>
      <c r="Q63" s="4">
        <f t="shared" si="3"/>
        <v>6.5991902834008104E-2</v>
      </c>
      <c r="R63" s="5">
        <f t="shared" si="4"/>
        <v>930</v>
      </c>
      <c r="S63" s="4">
        <f t="shared" si="5"/>
        <v>3.875E-2</v>
      </c>
      <c r="T63" s="5">
        <f t="shared" si="6"/>
        <v>130</v>
      </c>
      <c r="U63" s="4">
        <f t="shared" si="7"/>
        <v>5.6034482758620689E-3</v>
      </c>
      <c r="V63" s="5">
        <f t="shared" si="8"/>
        <v>930</v>
      </c>
      <c r="W63" s="4">
        <f t="shared" si="9"/>
        <v>3.875E-2</v>
      </c>
    </row>
    <row r="64" spans="1:23" ht="15.75" customHeight="1" x14ac:dyDescent="0.2">
      <c r="A64" s="2" t="s">
        <v>61</v>
      </c>
      <c r="B64" s="2" t="s">
        <v>27</v>
      </c>
      <c r="C64" s="2" t="s">
        <v>20</v>
      </c>
      <c r="D64" s="2" t="s">
        <v>62</v>
      </c>
      <c r="E64" s="2" t="s">
        <v>28</v>
      </c>
      <c r="F64" s="3">
        <f>'Precios Tab Dreamfull-sheets'!$G$19</f>
        <v>23070</v>
      </c>
      <c r="G64" s="3">
        <v>31000</v>
      </c>
      <c r="H64" s="3">
        <v>25400</v>
      </c>
      <c r="I64" s="3">
        <v>25400</v>
      </c>
      <c r="J64" s="3">
        <v>24700</v>
      </c>
      <c r="K64" s="3">
        <v>24000</v>
      </c>
      <c r="L64" s="3">
        <v>23200</v>
      </c>
      <c r="M64" s="3">
        <f t="shared" si="10"/>
        <v>24000</v>
      </c>
      <c r="N64" s="5">
        <f t="shared" si="0"/>
        <v>2330</v>
      </c>
      <c r="O64" s="4">
        <f t="shared" si="1"/>
        <v>9.1732283464566924E-2</v>
      </c>
      <c r="P64" s="5">
        <f t="shared" si="2"/>
        <v>1630</v>
      </c>
      <c r="Q64" s="4">
        <f t="shared" si="3"/>
        <v>6.5991902834008104E-2</v>
      </c>
      <c r="R64" s="5">
        <f t="shared" si="4"/>
        <v>930</v>
      </c>
      <c r="S64" s="4">
        <f t="shared" si="5"/>
        <v>3.875E-2</v>
      </c>
      <c r="T64" s="5">
        <f t="shared" si="6"/>
        <v>130</v>
      </c>
      <c r="U64" s="4">
        <f t="shared" si="7"/>
        <v>5.6034482758620689E-3</v>
      </c>
      <c r="V64" s="5">
        <f t="shared" si="8"/>
        <v>930</v>
      </c>
      <c r="W64" s="4">
        <f t="shared" si="9"/>
        <v>3.875E-2</v>
      </c>
    </row>
    <row r="65" spans="1:23" ht="15.75" customHeight="1" x14ac:dyDescent="0.2">
      <c r="A65" s="2" t="s">
        <v>61</v>
      </c>
      <c r="B65" s="2" t="s">
        <v>27</v>
      </c>
      <c r="C65" s="2" t="s">
        <v>20</v>
      </c>
      <c r="D65" s="2" t="s">
        <v>53</v>
      </c>
      <c r="E65" s="2" t="s">
        <v>28</v>
      </c>
      <c r="F65" s="3">
        <f>'Precios Tab Dreamfull-sheets'!$G$19</f>
        <v>23070</v>
      </c>
      <c r="G65" s="3">
        <v>31000</v>
      </c>
      <c r="H65" s="3">
        <v>25400</v>
      </c>
      <c r="I65" s="3">
        <v>25400</v>
      </c>
      <c r="J65" s="3">
        <v>24700</v>
      </c>
      <c r="K65" s="3">
        <v>24000</v>
      </c>
      <c r="L65" s="3">
        <v>23200</v>
      </c>
      <c r="M65" s="3">
        <f t="shared" si="10"/>
        <v>24000</v>
      </c>
      <c r="N65" s="5">
        <f t="shared" si="0"/>
        <v>2330</v>
      </c>
      <c r="O65" s="4">
        <f t="shared" si="1"/>
        <v>9.1732283464566924E-2</v>
      </c>
      <c r="P65" s="5">
        <f t="shared" si="2"/>
        <v>1630</v>
      </c>
      <c r="Q65" s="4">
        <f t="shared" si="3"/>
        <v>6.5991902834008104E-2</v>
      </c>
      <c r="R65" s="5">
        <f t="shared" si="4"/>
        <v>930</v>
      </c>
      <c r="S65" s="4">
        <f t="shared" si="5"/>
        <v>3.875E-2</v>
      </c>
      <c r="T65" s="5">
        <f t="shared" si="6"/>
        <v>130</v>
      </c>
      <c r="U65" s="4">
        <f t="shared" si="7"/>
        <v>5.6034482758620689E-3</v>
      </c>
      <c r="V65" s="5">
        <f t="shared" si="8"/>
        <v>930</v>
      </c>
      <c r="W65" s="4">
        <f t="shared" si="9"/>
        <v>3.875E-2</v>
      </c>
    </row>
    <row r="66" spans="1:23" ht="15.75" customHeight="1" x14ac:dyDescent="0.2">
      <c r="A66" s="2" t="s">
        <v>61</v>
      </c>
      <c r="B66" s="2" t="s">
        <v>27</v>
      </c>
      <c r="C66" s="2" t="s">
        <v>20</v>
      </c>
      <c r="D66" s="2" t="s">
        <v>54</v>
      </c>
      <c r="E66" s="2" t="s">
        <v>28</v>
      </c>
      <c r="F66" s="3">
        <f>'Precios Tab Dreamfull-sheets'!$G$19</f>
        <v>23070</v>
      </c>
      <c r="G66" s="3">
        <v>31000</v>
      </c>
      <c r="H66" s="3">
        <v>25400</v>
      </c>
      <c r="I66" s="3">
        <v>25400</v>
      </c>
      <c r="J66" s="3">
        <v>24700</v>
      </c>
      <c r="K66" s="3">
        <v>24000</v>
      </c>
      <c r="L66" s="3">
        <v>23200</v>
      </c>
      <c r="M66" s="3">
        <f t="shared" si="10"/>
        <v>24000</v>
      </c>
      <c r="N66" s="5">
        <f t="shared" si="0"/>
        <v>2330</v>
      </c>
      <c r="O66" s="4">
        <f t="shared" si="1"/>
        <v>9.1732283464566924E-2</v>
      </c>
      <c r="P66" s="5">
        <f t="shared" si="2"/>
        <v>1630</v>
      </c>
      <c r="Q66" s="4">
        <f t="shared" si="3"/>
        <v>6.5991902834008104E-2</v>
      </c>
      <c r="R66" s="5">
        <f t="shared" si="4"/>
        <v>930</v>
      </c>
      <c r="S66" s="4">
        <f t="shared" si="5"/>
        <v>3.875E-2</v>
      </c>
      <c r="T66" s="5">
        <f t="shared" si="6"/>
        <v>130</v>
      </c>
      <c r="U66" s="4">
        <f t="shared" si="7"/>
        <v>5.6034482758620689E-3</v>
      </c>
      <c r="V66" s="5">
        <f t="shared" si="8"/>
        <v>930</v>
      </c>
      <c r="W66" s="4">
        <f t="shared" si="9"/>
        <v>3.875E-2</v>
      </c>
    </row>
    <row r="67" spans="1:23" ht="15.75" customHeight="1" x14ac:dyDescent="0.2">
      <c r="A67" s="2" t="s">
        <v>61</v>
      </c>
      <c r="B67" s="2" t="s">
        <v>27</v>
      </c>
      <c r="C67" s="2" t="s">
        <v>20</v>
      </c>
      <c r="D67" s="2" t="s">
        <v>55</v>
      </c>
      <c r="E67" s="2" t="s">
        <v>28</v>
      </c>
      <c r="F67" s="3">
        <f>'Precios Tab Dreamfull-sheets'!$G$19</f>
        <v>23070</v>
      </c>
      <c r="G67" s="3">
        <v>31000</v>
      </c>
      <c r="H67" s="3">
        <v>25400</v>
      </c>
      <c r="I67" s="3">
        <v>25400</v>
      </c>
      <c r="J67" s="3">
        <v>24700</v>
      </c>
      <c r="K67" s="3">
        <v>24000</v>
      </c>
      <c r="L67" s="3">
        <v>23200</v>
      </c>
      <c r="M67" s="3">
        <f t="shared" si="10"/>
        <v>24000</v>
      </c>
      <c r="N67" s="5">
        <f t="shared" ref="N67:N105" si="11">I67-$F67</f>
        <v>2330</v>
      </c>
      <c r="O67" s="4">
        <f t="shared" ref="O67:O105" si="12">N67/I67</f>
        <v>9.1732283464566924E-2</v>
      </c>
      <c r="P67" s="5">
        <f t="shared" ref="P67:P105" si="13">J67-$F67</f>
        <v>1630</v>
      </c>
      <c r="Q67" s="4">
        <f t="shared" ref="Q67:Q105" si="14">P67/J67</f>
        <v>6.5991902834008104E-2</v>
      </c>
      <c r="R67" s="5">
        <f t="shared" ref="R67:R105" si="15">K67-$F67</f>
        <v>930</v>
      </c>
      <c r="S67" s="4">
        <f t="shared" ref="S67:S105" si="16">R67/K67</f>
        <v>3.875E-2</v>
      </c>
      <c r="T67" s="5">
        <f t="shared" ref="T67:T105" si="17">L67-$F67</f>
        <v>130</v>
      </c>
      <c r="U67" s="4">
        <f t="shared" ref="U67:U105" si="18">T67/L67</f>
        <v>5.6034482758620689E-3</v>
      </c>
      <c r="V67" s="5">
        <f t="shared" ref="V67:V105" si="19">M67-$F67</f>
        <v>930</v>
      </c>
      <c r="W67" s="4">
        <f t="shared" ref="W67:W105" si="20">V67/M67</f>
        <v>3.875E-2</v>
      </c>
    </row>
    <row r="68" spans="1:23" ht="15.75" customHeight="1" x14ac:dyDescent="0.2">
      <c r="A68" s="2" t="s">
        <v>61</v>
      </c>
      <c r="B68" s="2" t="s">
        <v>27</v>
      </c>
      <c r="C68" s="2" t="s">
        <v>20</v>
      </c>
      <c r="D68" s="2" t="s">
        <v>56</v>
      </c>
      <c r="E68" s="2" t="s">
        <v>28</v>
      </c>
      <c r="F68" s="3">
        <f>'Precios Tab Dreamfull-sheets'!$G$19</f>
        <v>23070</v>
      </c>
      <c r="G68" s="3">
        <v>31000</v>
      </c>
      <c r="H68" s="3">
        <v>25400</v>
      </c>
      <c r="I68" s="3">
        <v>25400</v>
      </c>
      <c r="J68" s="3">
        <v>24700</v>
      </c>
      <c r="K68" s="3">
        <v>24000</v>
      </c>
      <c r="L68" s="3">
        <v>23200</v>
      </c>
      <c r="M68" s="3">
        <f t="shared" si="10"/>
        <v>24000</v>
      </c>
      <c r="N68" s="5">
        <f t="shared" si="11"/>
        <v>2330</v>
      </c>
      <c r="O68" s="4">
        <f t="shared" si="12"/>
        <v>9.1732283464566924E-2</v>
      </c>
      <c r="P68" s="5">
        <f t="shared" si="13"/>
        <v>1630</v>
      </c>
      <c r="Q68" s="4">
        <f t="shared" si="14"/>
        <v>6.5991902834008104E-2</v>
      </c>
      <c r="R68" s="5">
        <f t="shared" si="15"/>
        <v>930</v>
      </c>
      <c r="S68" s="4">
        <f t="shared" si="16"/>
        <v>3.875E-2</v>
      </c>
      <c r="T68" s="5">
        <f t="shared" si="17"/>
        <v>130</v>
      </c>
      <c r="U68" s="4">
        <f t="shared" si="18"/>
        <v>5.6034482758620689E-3</v>
      </c>
      <c r="V68" s="5">
        <f t="shared" si="19"/>
        <v>930</v>
      </c>
      <c r="W68" s="4">
        <f t="shared" si="20"/>
        <v>3.875E-2</v>
      </c>
    </row>
    <row r="69" spans="1:23" ht="15.75" customHeight="1" x14ac:dyDescent="0.2">
      <c r="A69" s="2" t="s">
        <v>61</v>
      </c>
      <c r="B69" s="2" t="s">
        <v>27</v>
      </c>
      <c r="C69" s="2" t="s">
        <v>20</v>
      </c>
      <c r="D69" s="2" t="s">
        <v>57</v>
      </c>
      <c r="E69" s="2" t="s">
        <v>28</v>
      </c>
      <c r="F69" s="3">
        <f>'Precios Tab Dreamfull-sheets'!$G$19</f>
        <v>23070</v>
      </c>
      <c r="G69" s="3">
        <v>31000</v>
      </c>
      <c r="H69" s="3">
        <v>25400</v>
      </c>
      <c r="I69" s="3">
        <v>25400</v>
      </c>
      <c r="J69" s="3">
        <v>24700</v>
      </c>
      <c r="K69" s="3">
        <v>24000</v>
      </c>
      <c r="L69" s="3">
        <v>23200</v>
      </c>
      <c r="M69" s="3">
        <f t="shared" si="10"/>
        <v>24000</v>
      </c>
      <c r="N69" s="5">
        <f t="shared" si="11"/>
        <v>2330</v>
      </c>
      <c r="O69" s="4">
        <f t="shared" si="12"/>
        <v>9.1732283464566924E-2</v>
      </c>
      <c r="P69" s="5">
        <f t="shared" si="13"/>
        <v>1630</v>
      </c>
      <c r="Q69" s="4">
        <f t="shared" si="14"/>
        <v>6.5991902834008104E-2</v>
      </c>
      <c r="R69" s="5">
        <f t="shared" si="15"/>
        <v>930</v>
      </c>
      <c r="S69" s="4">
        <f t="shared" si="16"/>
        <v>3.875E-2</v>
      </c>
      <c r="T69" s="5">
        <f t="shared" si="17"/>
        <v>130</v>
      </c>
      <c r="U69" s="4">
        <f t="shared" si="18"/>
        <v>5.6034482758620689E-3</v>
      </c>
      <c r="V69" s="5">
        <f t="shared" si="19"/>
        <v>930</v>
      </c>
      <c r="W69" s="4">
        <f t="shared" si="20"/>
        <v>3.875E-2</v>
      </c>
    </row>
    <row r="70" spans="1:23" ht="15.75" customHeight="1" x14ac:dyDescent="0.2">
      <c r="A70" s="2" t="s">
        <v>61</v>
      </c>
      <c r="B70" s="2" t="s">
        <v>27</v>
      </c>
      <c r="C70" s="2" t="s">
        <v>20</v>
      </c>
      <c r="D70" s="2" t="s">
        <v>58</v>
      </c>
      <c r="E70" s="2" t="s">
        <v>28</v>
      </c>
      <c r="F70" s="3">
        <f>'Precios Tab Dreamfull-sheets'!$G$19</f>
        <v>23070</v>
      </c>
      <c r="G70" s="3">
        <v>31000</v>
      </c>
      <c r="H70" s="3">
        <v>25400</v>
      </c>
      <c r="I70" s="3">
        <v>25400</v>
      </c>
      <c r="J70" s="3">
        <v>24700</v>
      </c>
      <c r="K70" s="3">
        <v>24000</v>
      </c>
      <c r="L70" s="3">
        <v>23200</v>
      </c>
      <c r="M70" s="3">
        <f t="shared" si="10"/>
        <v>24000</v>
      </c>
      <c r="N70" s="5">
        <f t="shared" si="11"/>
        <v>2330</v>
      </c>
      <c r="O70" s="4">
        <f t="shared" si="12"/>
        <v>9.1732283464566924E-2</v>
      </c>
      <c r="P70" s="5">
        <f t="shared" si="13"/>
        <v>1630</v>
      </c>
      <c r="Q70" s="4">
        <f t="shared" si="14"/>
        <v>6.5991902834008104E-2</v>
      </c>
      <c r="R70" s="5">
        <f t="shared" si="15"/>
        <v>930</v>
      </c>
      <c r="S70" s="4">
        <f t="shared" si="16"/>
        <v>3.875E-2</v>
      </c>
      <c r="T70" s="5">
        <f t="shared" si="17"/>
        <v>130</v>
      </c>
      <c r="U70" s="4">
        <f t="shared" si="18"/>
        <v>5.6034482758620689E-3</v>
      </c>
      <c r="V70" s="5">
        <f t="shared" si="19"/>
        <v>930</v>
      </c>
      <c r="W70" s="4">
        <f t="shared" si="20"/>
        <v>3.875E-2</v>
      </c>
    </row>
    <row r="71" spans="1:23" ht="15.75" customHeight="1" x14ac:dyDescent="0.2">
      <c r="A71" s="2" t="s">
        <v>61</v>
      </c>
      <c r="B71" s="2" t="s">
        <v>27</v>
      </c>
      <c r="C71" s="2" t="s">
        <v>21</v>
      </c>
      <c r="D71" s="2" t="s">
        <v>54</v>
      </c>
      <c r="E71" s="2" t="s">
        <v>28</v>
      </c>
      <c r="F71" s="3">
        <f>'Precios Tab Dreamfull-sheets'!$G$20</f>
        <v>23470</v>
      </c>
      <c r="G71" s="3">
        <v>31000</v>
      </c>
      <c r="H71" s="3">
        <v>25400</v>
      </c>
      <c r="I71" s="3">
        <v>25400</v>
      </c>
      <c r="J71" s="3">
        <v>24700</v>
      </c>
      <c r="K71" s="3">
        <v>24000</v>
      </c>
      <c r="L71" s="3">
        <f>ROUND($F71*1.04,-2)</f>
        <v>24400</v>
      </c>
      <c r="M71" s="3">
        <f t="shared" si="10"/>
        <v>24400</v>
      </c>
      <c r="N71" s="5">
        <f t="shared" si="11"/>
        <v>1930</v>
      </c>
      <c r="O71" s="4">
        <f t="shared" si="12"/>
        <v>7.5984251968503932E-2</v>
      </c>
      <c r="P71" s="5">
        <f t="shared" si="13"/>
        <v>1230</v>
      </c>
      <c r="Q71" s="4">
        <f t="shared" si="14"/>
        <v>4.9797570850202429E-2</v>
      </c>
      <c r="R71" s="5">
        <f t="shared" si="15"/>
        <v>530</v>
      </c>
      <c r="S71" s="4">
        <f t="shared" si="16"/>
        <v>2.2083333333333333E-2</v>
      </c>
      <c r="T71" s="5">
        <f t="shared" si="17"/>
        <v>930</v>
      </c>
      <c r="U71" s="4">
        <f t="shared" si="18"/>
        <v>3.8114754098360654E-2</v>
      </c>
      <c r="V71" s="5">
        <f t="shared" si="19"/>
        <v>930</v>
      </c>
      <c r="W71" s="4">
        <f t="shared" si="20"/>
        <v>3.8114754098360654E-2</v>
      </c>
    </row>
    <row r="72" spans="1:23" ht="15.75" customHeight="1" x14ac:dyDescent="0.2">
      <c r="A72" s="2" t="s">
        <v>61</v>
      </c>
      <c r="B72" s="2" t="s">
        <v>27</v>
      </c>
      <c r="C72" s="2" t="s">
        <v>21</v>
      </c>
      <c r="D72" s="2" t="s">
        <v>55</v>
      </c>
      <c r="E72" s="2" t="s">
        <v>28</v>
      </c>
      <c r="F72" s="3">
        <f>'Precios Tab Dreamfull-sheets'!$G$20</f>
        <v>23470</v>
      </c>
      <c r="G72" s="3">
        <v>31000</v>
      </c>
      <c r="H72" s="3">
        <v>25400</v>
      </c>
      <c r="I72" s="3">
        <v>25400</v>
      </c>
      <c r="J72" s="3">
        <v>24700</v>
      </c>
      <c r="K72" s="3">
        <v>24000</v>
      </c>
      <c r="L72" s="3">
        <f>ROUND($F72*1.04,-2)</f>
        <v>24400</v>
      </c>
      <c r="M72" s="3">
        <f t="shared" si="10"/>
        <v>24400</v>
      </c>
      <c r="N72" s="5">
        <f t="shared" si="11"/>
        <v>1930</v>
      </c>
      <c r="O72" s="4">
        <f t="shared" si="12"/>
        <v>7.5984251968503932E-2</v>
      </c>
      <c r="P72" s="5">
        <f t="shared" si="13"/>
        <v>1230</v>
      </c>
      <c r="Q72" s="4">
        <f t="shared" si="14"/>
        <v>4.9797570850202429E-2</v>
      </c>
      <c r="R72" s="5">
        <f t="shared" si="15"/>
        <v>530</v>
      </c>
      <c r="S72" s="4">
        <f t="shared" si="16"/>
        <v>2.2083333333333333E-2</v>
      </c>
      <c r="T72" s="5">
        <f t="shared" si="17"/>
        <v>930</v>
      </c>
      <c r="U72" s="4">
        <f t="shared" si="18"/>
        <v>3.8114754098360654E-2</v>
      </c>
      <c r="V72" s="5">
        <f t="shared" si="19"/>
        <v>930</v>
      </c>
      <c r="W72" s="4">
        <f t="shared" si="20"/>
        <v>3.8114754098360654E-2</v>
      </c>
    </row>
    <row r="73" spans="1:23" ht="15.75" customHeight="1" x14ac:dyDescent="0.2">
      <c r="A73" s="2" t="s">
        <v>61</v>
      </c>
      <c r="B73" s="2" t="s">
        <v>27</v>
      </c>
      <c r="C73" s="2" t="s">
        <v>21</v>
      </c>
      <c r="D73" s="2" t="s">
        <v>56</v>
      </c>
      <c r="E73" s="2" t="s">
        <v>28</v>
      </c>
      <c r="F73" s="3">
        <f>'Precios Tab Dreamfull-sheets'!$G$20</f>
        <v>23470</v>
      </c>
      <c r="G73" s="3">
        <v>31000</v>
      </c>
      <c r="H73" s="3">
        <v>25400</v>
      </c>
      <c r="I73" s="3">
        <v>25400</v>
      </c>
      <c r="J73" s="3">
        <v>24700</v>
      </c>
      <c r="K73" s="3">
        <v>24000</v>
      </c>
      <c r="L73" s="3">
        <f>ROUND($F73*1.04,-2)</f>
        <v>24400</v>
      </c>
      <c r="M73" s="3">
        <f t="shared" si="10"/>
        <v>24400</v>
      </c>
      <c r="N73" s="5">
        <f t="shared" si="11"/>
        <v>1930</v>
      </c>
      <c r="O73" s="4">
        <f t="shared" si="12"/>
        <v>7.5984251968503932E-2</v>
      </c>
      <c r="P73" s="5">
        <f t="shared" si="13"/>
        <v>1230</v>
      </c>
      <c r="Q73" s="4">
        <f t="shared" si="14"/>
        <v>4.9797570850202429E-2</v>
      </c>
      <c r="R73" s="5">
        <f t="shared" si="15"/>
        <v>530</v>
      </c>
      <c r="S73" s="4">
        <f t="shared" si="16"/>
        <v>2.2083333333333333E-2</v>
      </c>
      <c r="T73" s="5">
        <f t="shared" si="17"/>
        <v>930</v>
      </c>
      <c r="U73" s="4">
        <f t="shared" si="18"/>
        <v>3.8114754098360654E-2</v>
      </c>
      <c r="V73" s="5">
        <f t="shared" si="19"/>
        <v>930</v>
      </c>
      <c r="W73" s="4">
        <f t="shared" si="20"/>
        <v>3.8114754098360654E-2</v>
      </c>
    </row>
    <row r="74" spans="1:23" ht="15.75" customHeight="1" x14ac:dyDescent="0.2">
      <c r="A74" s="2" t="s">
        <v>61</v>
      </c>
      <c r="B74" s="2" t="s">
        <v>27</v>
      </c>
      <c r="C74" s="2" t="s">
        <v>21</v>
      </c>
      <c r="D74" s="2" t="s">
        <v>57</v>
      </c>
      <c r="E74" s="2" t="s">
        <v>28</v>
      </c>
      <c r="F74" s="3">
        <f>'Precios Tab Dreamfull-sheets'!$G$20</f>
        <v>23470</v>
      </c>
      <c r="G74" s="3">
        <v>31000</v>
      </c>
      <c r="H74" s="3">
        <v>25400</v>
      </c>
      <c r="I74" s="3">
        <v>25400</v>
      </c>
      <c r="J74" s="3">
        <v>24700</v>
      </c>
      <c r="K74" s="3">
        <v>24000</v>
      </c>
      <c r="L74" s="3">
        <f>ROUND($F74*1.04,-2)</f>
        <v>24400</v>
      </c>
      <c r="M74" s="3">
        <f t="shared" si="10"/>
        <v>24400</v>
      </c>
      <c r="N74" s="5">
        <f t="shared" si="11"/>
        <v>1930</v>
      </c>
      <c r="O74" s="4">
        <f t="shared" si="12"/>
        <v>7.5984251968503932E-2</v>
      </c>
      <c r="P74" s="5">
        <f t="shared" si="13"/>
        <v>1230</v>
      </c>
      <c r="Q74" s="4">
        <f t="shared" si="14"/>
        <v>4.9797570850202429E-2</v>
      </c>
      <c r="R74" s="5">
        <f t="shared" si="15"/>
        <v>530</v>
      </c>
      <c r="S74" s="4">
        <f t="shared" si="16"/>
        <v>2.2083333333333333E-2</v>
      </c>
      <c r="T74" s="5">
        <f t="shared" si="17"/>
        <v>930</v>
      </c>
      <c r="U74" s="4">
        <f t="shared" si="18"/>
        <v>3.8114754098360654E-2</v>
      </c>
      <c r="V74" s="5">
        <f t="shared" si="19"/>
        <v>930</v>
      </c>
      <c r="W74" s="4">
        <f t="shared" si="20"/>
        <v>3.8114754098360654E-2</v>
      </c>
    </row>
    <row r="75" spans="1:23" ht="15.75" customHeight="1" x14ac:dyDescent="0.2">
      <c r="A75" s="2" t="s">
        <v>63</v>
      </c>
      <c r="B75" s="2" t="s">
        <v>29</v>
      </c>
      <c r="C75" s="2" t="s">
        <v>18</v>
      </c>
      <c r="D75" s="2" t="s">
        <v>54</v>
      </c>
      <c r="E75" s="2" t="s">
        <v>30</v>
      </c>
      <c r="F75" s="3">
        <f>'Precios Tab Dreamfull-sheets'!$G$14</f>
        <v>18600</v>
      </c>
      <c r="G75" s="3">
        <v>28600</v>
      </c>
      <c r="H75" s="3">
        <v>25700</v>
      </c>
      <c r="I75" s="3">
        <v>25700</v>
      </c>
      <c r="J75" s="3">
        <v>24700</v>
      </c>
      <c r="K75" s="3">
        <v>23700</v>
      </c>
      <c r="L75" s="3">
        <v>22700</v>
      </c>
      <c r="M75" s="3">
        <v>21700</v>
      </c>
      <c r="N75" s="5">
        <f t="shared" si="11"/>
        <v>7100</v>
      </c>
      <c r="O75" s="4">
        <f t="shared" si="12"/>
        <v>0.27626459143968873</v>
      </c>
      <c r="P75" s="5">
        <f t="shared" si="13"/>
        <v>6100</v>
      </c>
      <c r="Q75" s="4">
        <f t="shared" si="14"/>
        <v>0.24696356275303644</v>
      </c>
      <c r="R75" s="5">
        <f t="shared" si="15"/>
        <v>5100</v>
      </c>
      <c r="S75" s="4">
        <f t="shared" si="16"/>
        <v>0.21518987341772153</v>
      </c>
      <c r="T75" s="5">
        <f t="shared" si="17"/>
        <v>4100</v>
      </c>
      <c r="U75" s="4">
        <f t="shared" si="18"/>
        <v>0.18061674008810572</v>
      </c>
      <c r="V75" s="5">
        <f t="shared" si="19"/>
        <v>3100</v>
      </c>
      <c r="W75" s="4">
        <f t="shared" si="20"/>
        <v>0.14285714285714285</v>
      </c>
    </row>
    <row r="76" spans="1:23" ht="15.75" customHeight="1" x14ac:dyDescent="0.2">
      <c r="A76" s="2" t="s">
        <v>63</v>
      </c>
      <c r="B76" s="2" t="s">
        <v>29</v>
      </c>
      <c r="C76" s="2" t="s">
        <v>18</v>
      </c>
      <c r="D76" s="2" t="s">
        <v>55</v>
      </c>
      <c r="E76" s="2" t="s">
        <v>30</v>
      </c>
      <c r="F76" s="3">
        <f>'Precios Tab Dreamfull-sheets'!$G$14</f>
        <v>18600</v>
      </c>
      <c r="G76" s="3">
        <v>28600</v>
      </c>
      <c r="H76" s="3">
        <v>25700</v>
      </c>
      <c r="I76" s="3">
        <v>25700</v>
      </c>
      <c r="J76" s="3">
        <v>24700</v>
      </c>
      <c r="K76" s="3">
        <v>23700</v>
      </c>
      <c r="L76" s="3">
        <v>22700</v>
      </c>
      <c r="M76" s="3">
        <v>21700</v>
      </c>
      <c r="N76" s="5">
        <f t="shared" si="11"/>
        <v>7100</v>
      </c>
      <c r="O76" s="4">
        <f t="shared" si="12"/>
        <v>0.27626459143968873</v>
      </c>
      <c r="P76" s="5">
        <f t="shared" si="13"/>
        <v>6100</v>
      </c>
      <c r="Q76" s="4">
        <f t="shared" si="14"/>
        <v>0.24696356275303644</v>
      </c>
      <c r="R76" s="5">
        <f t="shared" si="15"/>
        <v>5100</v>
      </c>
      <c r="S76" s="4">
        <f t="shared" si="16"/>
        <v>0.21518987341772153</v>
      </c>
      <c r="T76" s="5">
        <f t="shared" si="17"/>
        <v>4100</v>
      </c>
      <c r="U76" s="4">
        <f t="shared" si="18"/>
        <v>0.18061674008810572</v>
      </c>
      <c r="V76" s="5">
        <f t="shared" si="19"/>
        <v>3100</v>
      </c>
      <c r="W76" s="4">
        <f t="shared" si="20"/>
        <v>0.14285714285714285</v>
      </c>
    </row>
    <row r="77" spans="1:23" ht="15.75" customHeight="1" x14ac:dyDescent="0.2">
      <c r="A77" s="2" t="s">
        <v>63</v>
      </c>
      <c r="B77" s="2" t="s">
        <v>29</v>
      </c>
      <c r="C77" s="2" t="s">
        <v>18</v>
      </c>
      <c r="D77" s="2" t="s">
        <v>56</v>
      </c>
      <c r="E77" s="2" t="s">
        <v>30</v>
      </c>
      <c r="F77" s="3">
        <f>'Precios Tab Dreamfull-sheets'!$G$14</f>
        <v>18600</v>
      </c>
      <c r="G77" s="3">
        <v>28600</v>
      </c>
      <c r="H77" s="3">
        <v>25700</v>
      </c>
      <c r="I77" s="3">
        <v>25700</v>
      </c>
      <c r="J77" s="3">
        <v>24700</v>
      </c>
      <c r="K77" s="3">
        <v>23700</v>
      </c>
      <c r="L77" s="3">
        <v>22700</v>
      </c>
      <c r="M77" s="3">
        <v>21700</v>
      </c>
      <c r="N77" s="5">
        <f t="shared" si="11"/>
        <v>7100</v>
      </c>
      <c r="O77" s="4">
        <f t="shared" si="12"/>
        <v>0.27626459143968873</v>
      </c>
      <c r="P77" s="5">
        <f t="shared" si="13"/>
        <v>6100</v>
      </c>
      <c r="Q77" s="4">
        <f t="shared" si="14"/>
        <v>0.24696356275303644</v>
      </c>
      <c r="R77" s="5">
        <f t="shared" si="15"/>
        <v>5100</v>
      </c>
      <c r="S77" s="4">
        <f t="shared" si="16"/>
        <v>0.21518987341772153</v>
      </c>
      <c r="T77" s="5">
        <f t="shared" si="17"/>
        <v>4100</v>
      </c>
      <c r="U77" s="4">
        <f t="shared" si="18"/>
        <v>0.18061674008810572</v>
      </c>
      <c r="V77" s="5">
        <f t="shared" si="19"/>
        <v>3100</v>
      </c>
      <c r="W77" s="4">
        <f t="shared" si="20"/>
        <v>0.14285714285714285</v>
      </c>
    </row>
    <row r="78" spans="1:23" ht="15.75" customHeight="1" x14ac:dyDescent="0.2">
      <c r="A78" s="2" t="s">
        <v>63</v>
      </c>
      <c r="B78" s="2" t="s">
        <v>29</v>
      </c>
      <c r="C78" s="2" t="s">
        <v>18</v>
      </c>
      <c r="D78" s="2" t="s">
        <v>57</v>
      </c>
      <c r="E78" s="2" t="s">
        <v>30</v>
      </c>
      <c r="F78" s="3">
        <f>'Precios Tab Dreamfull-sheets'!$G$14</f>
        <v>18600</v>
      </c>
      <c r="G78" s="3">
        <v>28600</v>
      </c>
      <c r="H78" s="3">
        <v>25700</v>
      </c>
      <c r="I78" s="3">
        <v>25700</v>
      </c>
      <c r="J78" s="3">
        <v>24700</v>
      </c>
      <c r="K78" s="3">
        <v>23700</v>
      </c>
      <c r="L78" s="3">
        <v>22700</v>
      </c>
      <c r="M78" s="3">
        <v>21700</v>
      </c>
      <c r="N78" s="5">
        <f t="shared" si="11"/>
        <v>7100</v>
      </c>
      <c r="O78" s="4">
        <f t="shared" si="12"/>
        <v>0.27626459143968873</v>
      </c>
      <c r="P78" s="5">
        <f t="shared" si="13"/>
        <v>6100</v>
      </c>
      <c r="Q78" s="4">
        <f t="shared" si="14"/>
        <v>0.24696356275303644</v>
      </c>
      <c r="R78" s="5">
        <f t="shared" si="15"/>
        <v>5100</v>
      </c>
      <c r="S78" s="4">
        <f t="shared" si="16"/>
        <v>0.21518987341772153</v>
      </c>
      <c r="T78" s="5">
        <f t="shared" si="17"/>
        <v>4100</v>
      </c>
      <c r="U78" s="4">
        <f t="shared" si="18"/>
        <v>0.18061674008810572</v>
      </c>
      <c r="V78" s="5">
        <f t="shared" si="19"/>
        <v>3100</v>
      </c>
      <c r="W78" s="4">
        <f t="shared" si="20"/>
        <v>0.14285714285714285</v>
      </c>
    </row>
    <row r="79" spans="1:23" ht="15.75" customHeight="1" x14ac:dyDescent="0.2">
      <c r="A79" s="2" t="s">
        <v>63</v>
      </c>
      <c r="B79" s="2" t="s">
        <v>29</v>
      </c>
      <c r="C79" s="2" t="s">
        <v>18</v>
      </c>
      <c r="D79" s="2" t="s">
        <v>58</v>
      </c>
      <c r="E79" s="2" t="s">
        <v>30</v>
      </c>
      <c r="F79" s="3">
        <f>'Precios Tab Dreamfull-sheets'!$G$14</f>
        <v>18600</v>
      </c>
      <c r="G79" s="3">
        <v>28600</v>
      </c>
      <c r="H79" s="3">
        <v>25700</v>
      </c>
      <c r="I79" s="3">
        <v>25700</v>
      </c>
      <c r="J79" s="3">
        <v>24700</v>
      </c>
      <c r="K79" s="3">
        <v>23700</v>
      </c>
      <c r="L79" s="3">
        <v>22700</v>
      </c>
      <c r="M79" s="3">
        <v>21700</v>
      </c>
      <c r="N79" s="5">
        <f t="shared" si="11"/>
        <v>7100</v>
      </c>
      <c r="O79" s="4">
        <f t="shared" si="12"/>
        <v>0.27626459143968873</v>
      </c>
      <c r="P79" s="5">
        <f t="shared" si="13"/>
        <v>6100</v>
      </c>
      <c r="Q79" s="4">
        <f t="shared" si="14"/>
        <v>0.24696356275303644</v>
      </c>
      <c r="R79" s="5">
        <f t="shared" si="15"/>
        <v>5100</v>
      </c>
      <c r="S79" s="4">
        <f t="shared" si="16"/>
        <v>0.21518987341772153</v>
      </c>
      <c r="T79" s="5">
        <f t="shared" si="17"/>
        <v>4100</v>
      </c>
      <c r="U79" s="4">
        <f t="shared" si="18"/>
        <v>0.18061674008810572</v>
      </c>
      <c r="V79" s="5">
        <f t="shared" si="19"/>
        <v>3100</v>
      </c>
      <c r="W79" s="4">
        <f t="shared" si="20"/>
        <v>0.14285714285714285</v>
      </c>
    </row>
    <row r="80" spans="1:23" ht="15.75" customHeight="1" x14ac:dyDescent="0.2">
      <c r="A80" s="2" t="s">
        <v>63</v>
      </c>
      <c r="B80" s="2" t="s">
        <v>29</v>
      </c>
      <c r="C80" s="2" t="s">
        <v>20</v>
      </c>
      <c r="D80" s="2" t="s">
        <v>54</v>
      </c>
      <c r="E80" s="2" t="s">
        <v>30</v>
      </c>
      <c r="F80" s="3">
        <f>'Precios Tab Dreamfull-sheets'!$G$15</f>
        <v>22670</v>
      </c>
      <c r="G80" s="3">
        <v>28600</v>
      </c>
      <c r="H80" s="3">
        <v>25700</v>
      </c>
      <c r="I80" s="3">
        <v>25700</v>
      </c>
      <c r="J80" s="3">
        <v>24700</v>
      </c>
      <c r="K80" s="3">
        <v>23700</v>
      </c>
      <c r="L80" s="3">
        <v>22700</v>
      </c>
      <c r="M80" s="3">
        <f>ROUND($F80*1.04,-2)</f>
        <v>23600</v>
      </c>
      <c r="N80" s="5">
        <f t="shared" si="11"/>
        <v>3030</v>
      </c>
      <c r="O80" s="4">
        <f t="shared" si="12"/>
        <v>0.1178988326848249</v>
      </c>
      <c r="P80" s="5">
        <f t="shared" si="13"/>
        <v>2030</v>
      </c>
      <c r="Q80" s="4">
        <f t="shared" si="14"/>
        <v>8.2186234817813772E-2</v>
      </c>
      <c r="R80" s="5">
        <f t="shared" si="15"/>
        <v>1030</v>
      </c>
      <c r="S80" s="4">
        <f t="shared" si="16"/>
        <v>4.3459915611814344E-2</v>
      </c>
      <c r="T80" s="5">
        <f t="shared" si="17"/>
        <v>30</v>
      </c>
      <c r="U80" s="4">
        <f t="shared" si="18"/>
        <v>1.3215859030837004E-3</v>
      </c>
      <c r="V80" s="5">
        <f t="shared" si="19"/>
        <v>930</v>
      </c>
      <c r="W80" s="4">
        <f t="shared" si="20"/>
        <v>3.9406779661016952E-2</v>
      </c>
    </row>
    <row r="81" spans="1:23" ht="15.75" customHeight="1" x14ac:dyDescent="0.2">
      <c r="A81" s="2" t="s">
        <v>63</v>
      </c>
      <c r="B81" s="2" t="s">
        <v>29</v>
      </c>
      <c r="C81" s="2" t="s">
        <v>20</v>
      </c>
      <c r="D81" s="2" t="s">
        <v>55</v>
      </c>
      <c r="E81" s="2" t="s">
        <v>30</v>
      </c>
      <c r="F81" s="3">
        <f>'Precios Tab Dreamfull-sheets'!$G$15</f>
        <v>22670</v>
      </c>
      <c r="G81" s="3">
        <v>28600</v>
      </c>
      <c r="H81" s="3">
        <v>25700</v>
      </c>
      <c r="I81" s="3">
        <v>25700</v>
      </c>
      <c r="J81" s="3">
        <v>24700</v>
      </c>
      <c r="K81" s="3">
        <v>23700</v>
      </c>
      <c r="L81" s="3">
        <v>22700</v>
      </c>
      <c r="M81" s="3">
        <f>ROUND($F81*1.04,-2)</f>
        <v>23600</v>
      </c>
      <c r="N81" s="5">
        <f t="shared" si="11"/>
        <v>3030</v>
      </c>
      <c r="O81" s="4">
        <f t="shared" si="12"/>
        <v>0.1178988326848249</v>
      </c>
      <c r="P81" s="5">
        <f t="shared" si="13"/>
        <v>2030</v>
      </c>
      <c r="Q81" s="4">
        <f t="shared" si="14"/>
        <v>8.2186234817813772E-2</v>
      </c>
      <c r="R81" s="5">
        <f t="shared" si="15"/>
        <v>1030</v>
      </c>
      <c r="S81" s="4">
        <f t="shared" si="16"/>
        <v>4.3459915611814344E-2</v>
      </c>
      <c r="T81" s="5">
        <f t="shared" si="17"/>
        <v>30</v>
      </c>
      <c r="U81" s="4">
        <f t="shared" si="18"/>
        <v>1.3215859030837004E-3</v>
      </c>
      <c r="V81" s="5">
        <f t="shared" si="19"/>
        <v>930</v>
      </c>
      <c r="W81" s="4">
        <f t="shared" si="20"/>
        <v>3.9406779661016952E-2</v>
      </c>
    </row>
    <row r="82" spans="1:23" ht="15.75" customHeight="1" x14ac:dyDescent="0.2">
      <c r="A82" s="2" t="s">
        <v>63</v>
      </c>
      <c r="B82" s="2" t="s">
        <v>29</v>
      </c>
      <c r="C82" s="2" t="s">
        <v>20</v>
      </c>
      <c r="D82" s="2" t="s">
        <v>56</v>
      </c>
      <c r="E82" s="2" t="s">
        <v>30</v>
      </c>
      <c r="F82" s="3">
        <f>'Precios Tab Dreamfull-sheets'!$G$15</f>
        <v>22670</v>
      </c>
      <c r="G82" s="3">
        <v>28600</v>
      </c>
      <c r="H82" s="3">
        <v>25700</v>
      </c>
      <c r="I82" s="3">
        <v>25700</v>
      </c>
      <c r="J82" s="3">
        <v>24700</v>
      </c>
      <c r="K82" s="3">
        <v>23700</v>
      </c>
      <c r="L82" s="3">
        <v>22700</v>
      </c>
      <c r="M82" s="3">
        <f>ROUND($F82*1.04,-2)</f>
        <v>23600</v>
      </c>
      <c r="N82" s="5">
        <f t="shared" si="11"/>
        <v>3030</v>
      </c>
      <c r="O82" s="4">
        <f t="shared" si="12"/>
        <v>0.1178988326848249</v>
      </c>
      <c r="P82" s="5">
        <f t="shared" si="13"/>
        <v>2030</v>
      </c>
      <c r="Q82" s="4">
        <f t="shared" si="14"/>
        <v>8.2186234817813772E-2</v>
      </c>
      <c r="R82" s="5">
        <f t="shared" si="15"/>
        <v>1030</v>
      </c>
      <c r="S82" s="4">
        <f t="shared" si="16"/>
        <v>4.3459915611814344E-2</v>
      </c>
      <c r="T82" s="5">
        <f t="shared" si="17"/>
        <v>30</v>
      </c>
      <c r="U82" s="4">
        <f t="shared" si="18"/>
        <v>1.3215859030837004E-3</v>
      </c>
      <c r="V82" s="5">
        <f t="shared" si="19"/>
        <v>930</v>
      </c>
      <c r="W82" s="4">
        <f t="shared" si="20"/>
        <v>3.9406779661016952E-2</v>
      </c>
    </row>
    <row r="83" spans="1:23" ht="15.75" customHeight="1" x14ac:dyDescent="0.2">
      <c r="A83" s="2" t="s">
        <v>63</v>
      </c>
      <c r="B83" s="2" t="s">
        <v>29</v>
      </c>
      <c r="C83" s="2" t="s">
        <v>20</v>
      </c>
      <c r="D83" s="2" t="s">
        <v>57</v>
      </c>
      <c r="E83" s="2" t="s">
        <v>30</v>
      </c>
      <c r="F83" s="3">
        <f>'Precios Tab Dreamfull-sheets'!$G$15</f>
        <v>22670</v>
      </c>
      <c r="G83" s="3">
        <v>28600</v>
      </c>
      <c r="H83" s="3">
        <v>25700</v>
      </c>
      <c r="I83" s="3">
        <v>25700</v>
      </c>
      <c r="J83" s="3">
        <v>24700</v>
      </c>
      <c r="K83" s="3">
        <v>23700</v>
      </c>
      <c r="L83" s="3">
        <v>22700</v>
      </c>
      <c r="M83" s="3">
        <f>ROUND($F83*1.04,-2)</f>
        <v>23600</v>
      </c>
      <c r="N83" s="5">
        <f t="shared" si="11"/>
        <v>3030</v>
      </c>
      <c r="O83" s="4">
        <f t="shared" si="12"/>
        <v>0.1178988326848249</v>
      </c>
      <c r="P83" s="5">
        <f t="shared" si="13"/>
        <v>2030</v>
      </c>
      <c r="Q83" s="4">
        <f t="shared" si="14"/>
        <v>8.2186234817813772E-2</v>
      </c>
      <c r="R83" s="5">
        <f t="shared" si="15"/>
        <v>1030</v>
      </c>
      <c r="S83" s="4">
        <f t="shared" si="16"/>
        <v>4.3459915611814344E-2</v>
      </c>
      <c r="T83" s="5">
        <f t="shared" si="17"/>
        <v>30</v>
      </c>
      <c r="U83" s="4">
        <f t="shared" si="18"/>
        <v>1.3215859030837004E-3</v>
      </c>
      <c r="V83" s="5">
        <f t="shared" si="19"/>
        <v>930</v>
      </c>
      <c r="W83" s="4">
        <f t="shared" si="20"/>
        <v>3.9406779661016952E-2</v>
      </c>
    </row>
    <row r="84" spans="1:23" ht="15.75" customHeight="1" x14ac:dyDescent="0.2">
      <c r="A84" s="2" t="s">
        <v>63</v>
      </c>
      <c r="B84" s="2" t="s">
        <v>29</v>
      </c>
      <c r="C84" s="2" t="s">
        <v>20</v>
      </c>
      <c r="D84" s="2" t="s">
        <v>58</v>
      </c>
      <c r="E84" s="2" t="s">
        <v>30</v>
      </c>
      <c r="F84" s="3">
        <f>'Precios Tab Dreamfull-sheets'!$G$15</f>
        <v>22670</v>
      </c>
      <c r="G84" s="3">
        <v>28600</v>
      </c>
      <c r="H84" s="3">
        <v>25700</v>
      </c>
      <c r="I84" s="3">
        <v>25700</v>
      </c>
      <c r="J84" s="3">
        <v>24700</v>
      </c>
      <c r="K84" s="3">
        <v>23700</v>
      </c>
      <c r="L84" s="3">
        <v>22700</v>
      </c>
      <c r="M84" s="3">
        <f>ROUND($F84*1.04,-2)</f>
        <v>23600</v>
      </c>
      <c r="N84" s="5">
        <f t="shared" si="11"/>
        <v>3030</v>
      </c>
      <c r="O84" s="4">
        <f t="shared" si="12"/>
        <v>0.1178988326848249</v>
      </c>
      <c r="P84" s="5">
        <f t="shared" si="13"/>
        <v>2030</v>
      </c>
      <c r="Q84" s="4">
        <f t="shared" si="14"/>
        <v>8.2186234817813772E-2</v>
      </c>
      <c r="R84" s="5">
        <f t="shared" si="15"/>
        <v>1030</v>
      </c>
      <c r="S84" s="4">
        <f t="shared" si="16"/>
        <v>4.3459915611814344E-2</v>
      </c>
      <c r="T84" s="5">
        <f t="shared" si="17"/>
        <v>30</v>
      </c>
      <c r="U84" s="4">
        <f t="shared" si="18"/>
        <v>1.3215859030837004E-3</v>
      </c>
      <c r="V84" s="5">
        <f t="shared" si="19"/>
        <v>930</v>
      </c>
      <c r="W84" s="4">
        <f t="shared" si="20"/>
        <v>3.9406779661016952E-2</v>
      </c>
    </row>
    <row r="85" spans="1:23" ht="15.75" customHeight="1" x14ac:dyDescent="0.2">
      <c r="A85" s="2" t="s">
        <v>64</v>
      </c>
      <c r="B85" s="2" t="s">
        <v>31</v>
      </c>
      <c r="C85" s="2" t="s">
        <v>32</v>
      </c>
      <c r="D85" s="2" t="s">
        <v>54</v>
      </c>
      <c r="E85" s="2" t="s">
        <v>30</v>
      </c>
      <c r="F85" s="3">
        <f>'Precios Tab Dreamfull-sheets'!$G$16</f>
        <v>18600</v>
      </c>
      <c r="G85" s="3">
        <v>28600</v>
      </c>
      <c r="H85" s="3">
        <v>25700</v>
      </c>
      <c r="I85" s="3">
        <v>25700</v>
      </c>
      <c r="J85" s="3">
        <v>24700</v>
      </c>
      <c r="K85" s="3">
        <v>23700</v>
      </c>
      <c r="L85" s="3">
        <v>22700</v>
      </c>
      <c r="M85" s="3">
        <v>21700</v>
      </c>
      <c r="N85" s="5">
        <f t="shared" si="11"/>
        <v>7100</v>
      </c>
      <c r="O85" s="4">
        <f t="shared" si="12"/>
        <v>0.27626459143968873</v>
      </c>
      <c r="P85" s="5">
        <f t="shared" si="13"/>
        <v>6100</v>
      </c>
      <c r="Q85" s="4">
        <f t="shared" si="14"/>
        <v>0.24696356275303644</v>
      </c>
      <c r="R85" s="5">
        <f t="shared" si="15"/>
        <v>5100</v>
      </c>
      <c r="S85" s="4">
        <f t="shared" si="16"/>
        <v>0.21518987341772153</v>
      </c>
      <c r="T85" s="5">
        <f t="shared" si="17"/>
        <v>4100</v>
      </c>
      <c r="U85" s="4">
        <f t="shared" si="18"/>
        <v>0.18061674008810572</v>
      </c>
      <c r="V85" s="5">
        <f t="shared" si="19"/>
        <v>3100</v>
      </c>
      <c r="W85" s="4">
        <f t="shared" si="20"/>
        <v>0.14285714285714285</v>
      </c>
    </row>
    <row r="86" spans="1:23" ht="15.75" customHeight="1" x14ac:dyDescent="0.2">
      <c r="A86" s="2" t="s">
        <v>64</v>
      </c>
      <c r="B86" s="2" t="s">
        <v>31</v>
      </c>
      <c r="C86" s="2" t="s">
        <v>32</v>
      </c>
      <c r="D86" s="2" t="s">
        <v>55</v>
      </c>
      <c r="E86" s="2" t="s">
        <v>30</v>
      </c>
      <c r="F86" s="3">
        <f>'Precios Tab Dreamfull-sheets'!$G$16</f>
        <v>18600</v>
      </c>
      <c r="G86" s="3">
        <v>28600</v>
      </c>
      <c r="H86" s="3">
        <v>25700</v>
      </c>
      <c r="I86" s="3">
        <v>25700</v>
      </c>
      <c r="J86" s="3">
        <v>24700</v>
      </c>
      <c r="K86" s="3">
        <v>23700</v>
      </c>
      <c r="L86" s="3">
        <v>22700</v>
      </c>
      <c r="M86" s="3">
        <v>21700</v>
      </c>
      <c r="N86" s="5">
        <f t="shared" si="11"/>
        <v>7100</v>
      </c>
      <c r="O86" s="4">
        <f t="shared" si="12"/>
        <v>0.27626459143968873</v>
      </c>
      <c r="P86" s="5">
        <f t="shared" si="13"/>
        <v>6100</v>
      </c>
      <c r="Q86" s="4">
        <f t="shared" si="14"/>
        <v>0.24696356275303644</v>
      </c>
      <c r="R86" s="5">
        <f t="shared" si="15"/>
        <v>5100</v>
      </c>
      <c r="S86" s="4">
        <f t="shared" si="16"/>
        <v>0.21518987341772153</v>
      </c>
      <c r="T86" s="5">
        <f t="shared" si="17"/>
        <v>4100</v>
      </c>
      <c r="U86" s="4">
        <f t="shared" si="18"/>
        <v>0.18061674008810572</v>
      </c>
      <c r="V86" s="5">
        <f t="shared" si="19"/>
        <v>3100</v>
      </c>
      <c r="W86" s="4">
        <f t="shared" si="20"/>
        <v>0.14285714285714285</v>
      </c>
    </row>
    <row r="87" spans="1:23" ht="15.75" customHeight="1" x14ac:dyDescent="0.2">
      <c r="A87" s="2" t="s">
        <v>64</v>
      </c>
      <c r="B87" s="2" t="s">
        <v>31</v>
      </c>
      <c r="C87" s="2" t="s">
        <v>32</v>
      </c>
      <c r="D87" s="2" t="s">
        <v>56</v>
      </c>
      <c r="E87" s="2" t="s">
        <v>30</v>
      </c>
      <c r="F87" s="3">
        <f>'Precios Tab Dreamfull-sheets'!$G$16</f>
        <v>18600</v>
      </c>
      <c r="G87" s="3">
        <v>28600</v>
      </c>
      <c r="H87" s="3">
        <v>25700</v>
      </c>
      <c r="I87" s="3">
        <v>25700</v>
      </c>
      <c r="J87" s="3">
        <v>24700</v>
      </c>
      <c r="K87" s="3">
        <v>23700</v>
      </c>
      <c r="L87" s="3">
        <v>22700</v>
      </c>
      <c r="M87" s="3">
        <v>21700</v>
      </c>
      <c r="N87" s="5">
        <f t="shared" si="11"/>
        <v>7100</v>
      </c>
      <c r="O87" s="4">
        <f t="shared" si="12"/>
        <v>0.27626459143968873</v>
      </c>
      <c r="P87" s="5">
        <f t="shared" si="13"/>
        <v>6100</v>
      </c>
      <c r="Q87" s="4">
        <f t="shared" si="14"/>
        <v>0.24696356275303644</v>
      </c>
      <c r="R87" s="5">
        <f t="shared" si="15"/>
        <v>5100</v>
      </c>
      <c r="S87" s="4">
        <f t="shared" si="16"/>
        <v>0.21518987341772153</v>
      </c>
      <c r="T87" s="5">
        <f t="shared" si="17"/>
        <v>4100</v>
      </c>
      <c r="U87" s="4">
        <f t="shared" si="18"/>
        <v>0.18061674008810572</v>
      </c>
      <c r="V87" s="5">
        <f t="shared" si="19"/>
        <v>3100</v>
      </c>
      <c r="W87" s="4">
        <f t="shared" si="20"/>
        <v>0.14285714285714285</v>
      </c>
    </row>
    <row r="88" spans="1:23" ht="15.75" customHeight="1" x14ac:dyDescent="0.2">
      <c r="A88" s="2" t="s">
        <v>64</v>
      </c>
      <c r="B88" s="2" t="s">
        <v>31</v>
      </c>
      <c r="C88" s="2" t="s">
        <v>32</v>
      </c>
      <c r="D88" s="2" t="s">
        <v>57</v>
      </c>
      <c r="E88" s="2" t="s">
        <v>30</v>
      </c>
      <c r="F88" s="3">
        <f>'Precios Tab Dreamfull-sheets'!$G$16</f>
        <v>18600</v>
      </c>
      <c r="G88" s="3">
        <v>28600</v>
      </c>
      <c r="H88" s="3">
        <v>25700</v>
      </c>
      <c r="I88" s="3">
        <v>25700</v>
      </c>
      <c r="J88" s="3">
        <v>24700</v>
      </c>
      <c r="K88" s="3">
        <v>23700</v>
      </c>
      <c r="L88" s="3">
        <v>22700</v>
      </c>
      <c r="M88" s="3">
        <v>21700</v>
      </c>
      <c r="N88" s="5">
        <f t="shared" si="11"/>
        <v>7100</v>
      </c>
      <c r="O88" s="4">
        <f t="shared" si="12"/>
        <v>0.27626459143968873</v>
      </c>
      <c r="P88" s="5">
        <f t="shared" si="13"/>
        <v>6100</v>
      </c>
      <c r="Q88" s="4">
        <f t="shared" si="14"/>
        <v>0.24696356275303644</v>
      </c>
      <c r="R88" s="5">
        <f t="shared" si="15"/>
        <v>5100</v>
      </c>
      <c r="S88" s="4">
        <f t="shared" si="16"/>
        <v>0.21518987341772153</v>
      </c>
      <c r="T88" s="5">
        <f t="shared" si="17"/>
        <v>4100</v>
      </c>
      <c r="U88" s="4">
        <f t="shared" si="18"/>
        <v>0.18061674008810572</v>
      </c>
      <c r="V88" s="5">
        <f t="shared" si="19"/>
        <v>3100</v>
      </c>
      <c r="W88" s="4">
        <f t="shared" si="20"/>
        <v>0.14285714285714285</v>
      </c>
    </row>
    <row r="89" spans="1:23" ht="15.75" customHeight="1" x14ac:dyDescent="0.2">
      <c r="A89" s="2" t="s">
        <v>64</v>
      </c>
      <c r="B89" s="2" t="s">
        <v>31</v>
      </c>
      <c r="C89" s="2" t="s">
        <v>32</v>
      </c>
      <c r="D89" s="2" t="s">
        <v>58</v>
      </c>
      <c r="E89" s="2" t="s">
        <v>30</v>
      </c>
      <c r="F89" s="3">
        <f>'Precios Tab Dreamfull-sheets'!$G$16</f>
        <v>18600</v>
      </c>
      <c r="G89" s="3">
        <v>28600</v>
      </c>
      <c r="H89" s="3">
        <v>25700</v>
      </c>
      <c r="I89" s="3">
        <v>25700</v>
      </c>
      <c r="J89" s="3">
        <v>24700</v>
      </c>
      <c r="K89" s="3">
        <v>23700</v>
      </c>
      <c r="L89" s="3">
        <v>22700</v>
      </c>
      <c r="M89" s="3">
        <v>21700</v>
      </c>
      <c r="N89" s="5">
        <f t="shared" si="11"/>
        <v>7100</v>
      </c>
      <c r="O89" s="4">
        <f t="shared" si="12"/>
        <v>0.27626459143968873</v>
      </c>
      <c r="P89" s="5">
        <f t="shared" si="13"/>
        <v>6100</v>
      </c>
      <c r="Q89" s="4">
        <f t="shared" si="14"/>
        <v>0.24696356275303644</v>
      </c>
      <c r="R89" s="5">
        <f t="shared" si="15"/>
        <v>5100</v>
      </c>
      <c r="S89" s="4">
        <f t="shared" si="16"/>
        <v>0.21518987341772153</v>
      </c>
      <c r="T89" s="5">
        <f t="shared" si="17"/>
        <v>4100</v>
      </c>
      <c r="U89" s="4">
        <f t="shared" si="18"/>
        <v>0.18061674008810572</v>
      </c>
      <c r="V89" s="5">
        <f t="shared" si="19"/>
        <v>3100</v>
      </c>
      <c r="W89" s="4">
        <f t="shared" si="20"/>
        <v>0.14285714285714285</v>
      </c>
    </row>
    <row r="90" spans="1:23" ht="15.75" customHeight="1" x14ac:dyDescent="0.2">
      <c r="A90" s="2" t="s">
        <v>64</v>
      </c>
      <c r="B90" s="2" t="s">
        <v>31</v>
      </c>
      <c r="C90" s="2" t="s">
        <v>33</v>
      </c>
      <c r="D90" s="2" t="s">
        <v>54</v>
      </c>
      <c r="E90" s="2" t="s">
        <v>30</v>
      </c>
      <c r="F90" s="3">
        <f>'Precios Tab Dreamfull-sheets'!$G$17</f>
        <v>22670</v>
      </c>
      <c r="G90" s="3">
        <v>28600</v>
      </c>
      <c r="H90" s="3">
        <v>25700</v>
      </c>
      <c r="I90" s="3">
        <v>25700</v>
      </c>
      <c r="J90" s="3">
        <v>24700</v>
      </c>
      <c r="K90" s="3">
        <v>23700</v>
      </c>
      <c r="L90" s="3">
        <v>22700</v>
      </c>
      <c r="M90" s="3">
        <f t="shared" ref="M90:M105" si="21">ROUND($F90*1.04,-2)</f>
        <v>23600</v>
      </c>
      <c r="N90" s="5">
        <f t="shared" si="11"/>
        <v>3030</v>
      </c>
      <c r="O90" s="4">
        <f t="shared" si="12"/>
        <v>0.1178988326848249</v>
      </c>
      <c r="P90" s="5">
        <f t="shared" si="13"/>
        <v>2030</v>
      </c>
      <c r="Q90" s="4">
        <f t="shared" si="14"/>
        <v>8.2186234817813772E-2</v>
      </c>
      <c r="R90" s="5">
        <f t="shared" si="15"/>
        <v>1030</v>
      </c>
      <c r="S90" s="4">
        <f t="shared" si="16"/>
        <v>4.3459915611814344E-2</v>
      </c>
      <c r="T90" s="5">
        <f t="shared" si="17"/>
        <v>30</v>
      </c>
      <c r="U90" s="4">
        <f t="shared" si="18"/>
        <v>1.3215859030837004E-3</v>
      </c>
      <c r="V90" s="5">
        <f t="shared" si="19"/>
        <v>930</v>
      </c>
      <c r="W90" s="4">
        <f t="shared" si="20"/>
        <v>3.9406779661016952E-2</v>
      </c>
    </row>
    <row r="91" spans="1:23" ht="15.75" customHeight="1" x14ac:dyDescent="0.2">
      <c r="A91" s="2" t="s">
        <v>64</v>
      </c>
      <c r="B91" s="2" t="s">
        <v>31</v>
      </c>
      <c r="C91" s="2" t="s">
        <v>33</v>
      </c>
      <c r="D91" s="2" t="s">
        <v>55</v>
      </c>
      <c r="E91" s="2" t="s">
        <v>30</v>
      </c>
      <c r="F91" s="3">
        <f>'Precios Tab Dreamfull-sheets'!$G$17</f>
        <v>22670</v>
      </c>
      <c r="G91" s="3">
        <v>28600</v>
      </c>
      <c r="H91" s="3">
        <v>25700</v>
      </c>
      <c r="I91" s="3">
        <v>25700</v>
      </c>
      <c r="J91" s="3">
        <v>24700</v>
      </c>
      <c r="K91" s="3">
        <v>23700</v>
      </c>
      <c r="L91" s="3">
        <v>22700</v>
      </c>
      <c r="M91" s="3">
        <f t="shared" si="21"/>
        <v>23600</v>
      </c>
      <c r="N91" s="5">
        <f t="shared" si="11"/>
        <v>3030</v>
      </c>
      <c r="O91" s="4">
        <f t="shared" si="12"/>
        <v>0.1178988326848249</v>
      </c>
      <c r="P91" s="5">
        <f t="shared" si="13"/>
        <v>2030</v>
      </c>
      <c r="Q91" s="4">
        <f t="shared" si="14"/>
        <v>8.2186234817813772E-2</v>
      </c>
      <c r="R91" s="5">
        <f t="shared" si="15"/>
        <v>1030</v>
      </c>
      <c r="S91" s="4">
        <f t="shared" si="16"/>
        <v>4.3459915611814344E-2</v>
      </c>
      <c r="T91" s="5">
        <f t="shared" si="17"/>
        <v>30</v>
      </c>
      <c r="U91" s="4">
        <f t="shared" si="18"/>
        <v>1.3215859030837004E-3</v>
      </c>
      <c r="V91" s="5">
        <f t="shared" si="19"/>
        <v>930</v>
      </c>
      <c r="W91" s="4">
        <f t="shared" si="20"/>
        <v>3.9406779661016952E-2</v>
      </c>
    </row>
    <row r="92" spans="1:23" ht="15.75" customHeight="1" x14ac:dyDescent="0.2">
      <c r="A92" s="2" t="s">
        <v>64</v>
      </c>
      <c r="B92" s="2" t="s">
        <v>31</v>
      </c>
      <c r="C92" s="2" t="s">
        <v>33</v>
      </c>
      <c r="D92" s="2" t="s">
        <v>56</v>
      </c>
      <c r="E92" s="2" t="s">
        <v>30</v>
      </c>
      <c r="F92" s="3">
        <f>'Precios Tab Dreamfull-sheets'!$G$17</f>
        <v>22670</v>
      </c>
      <c r="G92" s="3">
        <v>28600</v>
      </c>
      <c r="H92" s="3">
        <v>25700</v>
      </c>
      <c r="I92" s="3">
        <v>25700</v>
      </c>
      <c r="J92" s="3">
        <v>24700</v>
      </c>
      <c r="K92" s="3">
        <v>23700</v>
      </c>
      <c r="L92" s="3">
        <v>22700</v>
      </c>
      <c r="M92" s="3">
        <f t="shared" si="21"/>
        <v>23600</v>
      </c>
      <c r="N92" s="5">
        <f t="shared" si="11"/>
        <v>3030</v>
      </c>
      <c r="O92" s="4">
        <f t="shared" si="12"/>
        <v>0.1178988326848249</v>
      </c>
      <c r="P92" s="5">
        <f t="shared" si="13"/>
        <v>2030</v>
      </c>
      <c r="Q92" s="4">
        <f t="shared" si="14"/>
        <v>8.2186234817813772E-2</v>
      </c>
      <c r="R92" s="5">
        <f t="shared" si="15"/>
        <v>1030</v>
      </c>
      <c r="S92" s="4">
        <f t="shared" si="16"/>
        <v>4.3459915611814344E-2</v>
      </c>
      <c r="T92" s="5">
        <f t="shared" si="17"/>
        <v>30</v>
      </c>
      <c r="U92" s="4">
        <f t="shared" si="18"/>
        <v>1.3215859030837004E-3</v>
      </c>
      <c r="V92" s="5">
        <f t="shared" si="19"/>
        <v>930</v>
      </c>
      <c r="W92" s="4">
        <f t="shared" si="20"/>
        <v>3.9406779661016952E-2</v>
      </c>
    </row>
    <row r="93" spans="1:23" ht="15.75" customHeight="1" x14ac:dyDescent="0.2">
      <c r="A93" s="2" t="s">
        <v>64</v>
      </c>
      <c r="B93" s="2" t="s">
        <v>31</v>
      </c>
      <c r="C93" s="2" t="s">
        <v>33</v>
      </c>
      <c r="D93" s="2" t="s">
        <v>57</v>
      </c>
      <c r="E93" s="2" t="s">
        <v>30</v>
      </c>
      <c r="F93" s="3">
        <f>'Precios Tab Dreamfull-sheets'!$G$17</f>
        <v>22670</v>
      </c>
      <c r="G93" s="3">
        <v>28600</v>
      </c>
      <c r="H93" s="3">
        <v>25700</v>
      </c>
      <c r="I93" s="3">
        <v>25700</v>
      </c>
      <c r="J93" s="3">
        <v>24700</v>
      </c>
      <c r="K93" s="3">
        <v>23700</v>
      </c>
      <c r="L93" s="3">
        <v>22700</v>
      </c>
      <c r="M93" s="3">
        <f t="shared" si="21"/>
        <v>23600</v>
      </c>
      <c r="N93" s="5">
        <f t="shared" si="11"/>
        <v>3030</v>
      </c>
      <c r="O93" s="4">
        <f t="shared" si="12"/>
        <v>0.1178988326848249</v>
      </c>
      <c r="P93" s="5">
        <f t="shared" si="13"/>
        <v>2030</v>
      </c>
      <c r="Q93" s="4">
        <f t="shared" si="14"/>
        <v>8.2186234817813772E-2</v>
      </c>
      <c r="R93" s="5">
        <f t="shared" si="15"/>
        <v>1030</v>
      </c>
      <c r="S93" s="4">
        <f t="shared" si="16"/>
        <v>4.3459915611814344E-2</v>
      </c>
      <c r="T93" s="5">
        <f t="shared" si="17"/>
        <v>30</v>
      </c>
      <c r="U93" s="4">
        <f t="shared" si="18"/>
        <v>1.3215859030837004E-3</v>
      </c>
      <c r="V93" s="5">
        <f t="shared" si="19"/>
        <v>930</v>
      </c>
      <c r="W93" s="4">
        <f t="shared" si="20"/>
        <v>3.9406779661016952E-2</v>
      </c>
    </row>
    <row r="94" spans="1:23" ht="15.75" customHeight="1" x14ac:dyDescent="0.2">
      <c r="A94" s="2" t="s">
        <v>64</v>
      </c>
      <c r="B94" s="2" t="s">
        <v>31</v>
      </c>
      <c r="C94" s="2" t="s">
        <v>33</v>
      </c>
      <c r="D94" s="2" t="s">
        <v>58</v>
      </c>
      <c r="E94" s="2" t="s">
        <v>30</v>
      </c>
      <c r="F94" s="3">
        <f>'Precios Tab Dreamfull-sheets'!$G$17</f>
        <v>22670</v>
      </c>
      <c r="G94" s="3">
        <v>28600</v>
      </c>
      <c r="H94" s="3">
        <v>25700</v>
      </c>
      <c r="I94" s="3">
        <v>25700</v>
      </c>
      <c r="J94" s="3">
        <v>24700</v>
      </c>
      <c r="K94" s="3">
        <v>23700</v>
      </c>
      <c r="L94" s="3">
        <v>22700</v>
      </c>
      <c r="M94" s="3">
        <f t="shared" si="21"/>
        <v>23600</v>
      </c>
      <c r="N94" s="5">
        <f t="shared" si="11"/>
        <v>3030</v>
      </c>
      <c r="O94" s="4">
        <f t="shared" si="12"/>
        <v>0.1178988326848249</v>
      </c>
      <c r="P94" s="5">
        <f t="shared" si="13"/>
        <v>2030</v>
      </c>
      <c r="Q94" s="4">
        <f t="shared" si="14"/>
        <v>8.2186234817813772E-2</v>
      </c>
      <c r="R94" s="5">
        <f t="shared" si="15"/>
        <v>1030</v>
      </c>
      <c r="S94" s="4">
        <f t="shared" si="16"/>
        <v>4.3459915611814344E-2</v>
      </c>
      <c r="T94" s="5">
        <f t="shared" si="17"/>
        <v>30</v>
      </c>
      <c r="U94" s="4">
        <f t="shared" si="18"/>
        <v>1.3215859030837004E-3</v>
      </c>
      <c r="V94" s="5">
        <f t="shared" si="19"/>
        <v>930</v>
      </c>
      <c r="W94" s="4">
        <f t="shared" si="20"/>
        <v>3.9406779661016952E-2</v>
      </c>
    </row>
    <row r="95" spans="1:23" ht="15.75" customHeight="1" x14ac:dyDescent="0.2">
      <c r="A95" s="2" t="s">
        <v>65</v>
      </c>
      <c r="B95" s="2" t="s">
        <v>34</v>
      </c>
      <c r="C95" s="2" t="s">
        <v>35</v>
      </c>
      <c r="D95" s="2" t="s">
        <v>54</v>
      </c>
      <c r="E95" s="2" t="s">
        <v>36</v>
      </c>
      <c r="F95" s="3">
        <f>'Precios Tab Dreamfull-sheets'!$G$5</f>
        <v>18100</v>
      </c>
      <c r="G95" s="3">
        <v>23500</v>
      </c>
      <c r="H95" s="3">
        <v>19300</v>
      </c>
      <c r="I95" s="3">
        <v>19300</v>
      </c>
      <c r="J95" s="3">
        <v>18800</v>
      </c>
      <c r="K95" s="3">
        <v>18200</v>
      </c>
      <c r="L95" s="3">
        <f t="shared" ref="L95:L105" si="22">ROUND($F95*1.04,-2)</f>
        <v>18800</v>
      </c>
      <c r="M95" s="3">
        <f t="shared" si="21"/>
        <v>18800</v>
      </c>
      <c r="N95" s="5">
        <f t="shared" si="11"/>
        <v>1200</v>
      </c>
      <c r="O95" s="4">
        <f t="shared" si="12"/>
        <v>6.2176165803108807E-2</v>
      </c>
      <c r="P95" s="5">
        <f t="shared" si="13"/>
        <v>700</v>
      </c>
      <c r="Q95" s="4">
        <f t="shared" si="14"/>
        <v>3.7234042553191488E-2</v>
      </c>
      <c r="R95" s="5">
        <f t="shared" si="15"/>
        <v>100</v>
      </c>
      <c r="S95" s="4">
        <f t="shared" si="16"/>
        <v>5.4945054945054949E-3</v>
      </c>
      <c r="T95" s="5">
        <f t="shared" si="17"/>
        <v>700</v>
      </c>
      <c r="U95" s="4">
        <f t="shared" si="18"/>
        <v>3.7234042553191488E-2</v>
      </c>
      <c r="V95" s="5">
        <f t="shared" si="19"/>
        <v>700</v>
      </c>
      <c r="W95" s="4">
        <f t="shared" si="20"/>
        <v>3.7234042553191488E-2</v>
      </c>
    </row>
    <row r="96" spans="1:23" ht="15.75" customHeight="1" x14ac:dyDescent="0.2">
      <c r="A96" s="2" t="s">
        <v>65</v>
      </c>
      <c r="B96" s="2" t="s">
        <v>34</v>
      </c>
      <c r="C96" s="2" t="s">
        <v>35</v>
      </c>
      <c r="D96" s="2" t="s">
        <v>55</v>
      </c>
      <c r="E96" s="2" t="s">
        <v>36</v>
      </c>
      <c r="F96" s="3">
        <f>'Precios Tab Dreamfull-sheets'!$G$5</f>
        <v>18100</v>
      </c>
      <c r="G96" s="3">
        <v>23500</v>
      </c>
      <c r="H96" s="3">
        <v>19300</v>
      </c>
      <c r="I96" s="3">
        <v>19300</v>
      </c>
      <c r="J96" s="3">
        <v>18800</v>
      </c>
      <c r="K96" s="3">
        <v>18200</v>
      </c>
      <c r="L96" s="3">
        <f t="shared" si="22"/>
        <v>18800</v>
      </c>
      <c r="M96" s="3">
        <f t="shared" si="21"/>
        <v>18800</v>
      </c>
      <c r="N96" s="5">
        <f t="shared" si="11"/>
        <v>1200</v>
      </c>
      <c r="O96" s="4">
        <f t="shared" si="12"/>
        <v>6.2176165803108807E-2</v>
      </c>
      <c r="P96" s="5">
        <f t="shared" si="13"/>
        <v>700</v>
      </c>
      <c r="Q96" s="4">
        <f t="shared" si="14"/>
        <v>3.7234042553191488E-2</v>
      </c>
      <c r="R96" s="5">
        <f t="shared" si="15"/>
        <v>100</v>
      </c>
      <c r="S96" s="4">
        <f t="shared" si="16"/>
        <v>5.4945054945054949E-3</v>
      </c>
      <c r="T96" s="5">
        <f t="shared" si="17"/>
        <v>700</v>
      </c>
      <c r="U96" s="4">
        <f t="shared" si="18"/>
        <v>3.7234042553191488E-2</v>
      </c>
      <c r="V96" s="5">
        <f t="shared" si="19"/>
        <v>700</v>
      </c>
      <c r="W96" s="4">
        <f t="shared" si="20"/>
        <v>3.7234042553191488E-2</v>
      </c>
    </row>
    <row r="97" spans="1:23" ht="15.75" customHeight="1" x14ac:dyDescent="0.2">
      <c r="A97" s="2" t="s">
        <v>65</v>
      </c>
      <c r="B97" s="2" t="s">
        <v>34</v>
      </c>
      <c r="C97" s="2" t="s">
        <v>35</v>
      </c>
      <c r="D97" s="2" t="s">
        <v>56</v>
      </c>
      <c r="E97" s="2" t="s">
        <v>36</v>
      </c>
      <c r="F97" s="3">
        <f>'Precios Tab Dreamfull-sheets'!$G$5</f>
        <v>18100</v>
      </c>
      <c r="G97" s="3">
        <v>23500</v>
      </c>
      <c r="H97" s="3">
        <v>19300</v>
      </c>
      <c r="I97" s="3">
        <v>19300</v>
      </c>
      <c r="J97" s="3">
        <v>18800</v>
      </c>
      <c r="K97" s="3">
        <v>18200</v>
      </c>
      <c r="L97" s="3">
        <f t="shared" si="22"/>
        <v>18800</v>
      </c>
      <c r="M97" s="3">
        <f t="shared" si="21"/>
        <v>18800</v>
      </c>
      <c r="N97" s="5">
        <f t="shared" si="11"/>
        <v>1200</v>
      </c>
      <c r="O97" s="4">
        <f t="shared" si="12"/>
        <v>6.2176165803108807E-2</v>
      </c>
      <c r="P97" s="5">
        <f t="shared" si="13"/>
        <v>700</v>
      </c>
      <c r="Q97" s="4">
        <f t="shared" si="14"/>
        <v>3.7234042553191488E-2</v>
      </c>
      <c r="R97" s="5">
        <f t="shared" si="15"/>
        <v>100</v>
      </c>
      <c r="S97" s="4">
        <f t="shared" si="16"/>
        <v>5.4945054945054949E-3</v>
      </c>
      <c r="T97" s="5">
        <f t="shared" si="17"/>
        <v>700</v>
      </c>
      <c r="U97" s="4">
        <f t="shared" si="18"/>
        <v>3.7234042553191488E-2</v>
      </c>
      <c r="V97" s="5">
        <f t="shared" si="19"/>
        <v>700</v>
      </c>
      <c r="W97" s="4">
        <f t="shared" si="20"/>
        <v>3.7234042553191488E-2</v>
      </c>
    </row>
    <row r="98" spans="1:23" ht="15.75" customHeight="1" x14ac:dyDescent="0.2">
      <c r="A98" s="2" t="s">
        <v>65</v>
      </c>
      <c r="B98" s="2" t="s">
        <v>34</v>
      </c>
      <c r="C98" s="2" t="s">
        <v>35</v>
      </c>
      <c r="D98" s="2" t="s">
        <v>57</v>
      </c>
      <c r="E98" s="2" t="s">
        <v>36</v>
      </c>
      <c r="F98" s="3">
        <f>'Precios Tab Dreamfull-sheets'!$G$5</f>
        <v>18100</v>
      </c>
      <c r="G98" s="3">
        <v>23500</v>
      </c>
      <c r="H98" s="3">
        <v>19300</v>
      </c>
      <c r="I98" s="3">
        <v>19300</v>
      </c>
      <c r="J98" s="3">
        <v>18800</v>
      </c>
      <c r="K98" s="3">
        <v>18200</v>
      </c>
      <c r="L98" s="3">
        <f t="shared" si="22"/>
        <v>18800</v>
      </c>
      <c r="M98" s="3">
        <f t="shared" si="21"/>
        <v>18800</v>
      </c>
      <c r="N98" s="5">
        <f t="shared" si="11"/>
        <v>1200</v>
      </c>
      <c r="O98" s="4">
        <f t="shared" si="12"/>
        <v>6.2176165803108807E-2</v>
      </c>
      <c r="P98" s="5">
        <f t="shared" si="13"/>
        <v>700</v>
      </c>
      <c r="Q98" s="4">
        <f t="shared" si="14"/>
        <v>3.7234042553191488E-2</v>
      </c>
      <c r="R98" s="5">
        <f t="shared" si="15"/>
        <v>100</v>
      </c>
      <c r="S98" s="4">
        <f t="shared" si="16"/>
        <v>5.4945054945054949E-3</v>
      </c>
      <c r="T98" s="5">
        <f t="shared" si="17"/>
        <v>700</v>
      </c>
      <c r="U98" s="4">
        <f t="shared" si="18"/>
        <v>3.7234042553191488E-2</v>
      </c>
      <c r="V98" s="5">
        <f t="shared" si="19"/>
        <v>700</v>
      </c>
      <c r="W98" s="4">
        <f t="shared" si="20"/>
        <v>3.7234042553191488E-2</v>
      </c>
    </row>
    <row r="99" spans="1:23" ht="15.75" customHeight="1" x14ac:dyDescent="0.2">
      <c r="A99" s="2" t="s">
        <v>65</v>
      </c>
      <c r="B99" s="2" t="s">
        <v>34</v>
      </c>
      <c r="C99" s="2" t="s">
        <v>35</v>
      </c>
      <c r="D99" s="2" t="s">
        <v>58</v>
      </c>
      <c r="E99" s="2" t="s">
        <v>36</v>
      </c>
      <c r="F99" s="3">
        <f>'Precios Tab Dreamfull-sheets'!$G$5</f>
        <v>18100</v>
      </c>
      <c r="G99" s="3">
        <v>23500</v>
      </c>
      <c r="H99" s="3">
        <v>19300</v>
      </c>
      <c r="I99" s="3">
        <v>19300</v>
      </c>
      <c r="J99" s="3">
        <v>18800</v>
      </c>
      <c r="K99" s="3">
        <v>18200</v>
      </c>
      <c r="L99" s="3">
        <f t="shared" si="22"/>
        <v>18800</v>
      </c>
      <c r="M99" s="3">
        <f t="shared" si="21"/>
        <v>18800</v>
      </c>
      <c r="N99" s="5">
        <f t="shared" si="11"/>
        <v>1200</v>
      </c>
      <c r="O99" s="4">
        <f t="shared" si="12"/>
        <v>6.2176165803108807E-2</v>
      </c>
      <c r="P99" s="5">
        <f t="shared" si="13"/>
        <v>700</v>
      </c>
      <c r="Q99" s="4">
        <f t="shared" si="14"/>
        <v>3.7234042553191488E-2</v>
      </c>
      <c r="R99" s="5">
        <f t="shared" si="15"/>
        <v>100</v>
      </c>
      <c r="S99" s="4">
        <f t="shared" si="16"/>
        <v>5.4945054945054949E-3</v>
      </c>
      <c r="T99" s="5">
        <f t="shared" si="17"/>
        <v>700</v>
      </c>
      <c r="U99" s="4">
        <f t="shared" si="18"/>
        <v>3.7234042553191488E-2</v>
      </c>
      <c r="V99" s="5">
        <f t="shared" si="19"/>
        <v>700</v>
      </c>
      <c r="W99" s="4">
        <f t="shared" si="20"/>
        <v>3.7234042553191488E-2</v>
      </c>
    </row>
    <row r="100" spans="1:23" ht="15.75" customHeight="1" x14ac:dyDescent="0.2">
      <c r="A100" s="2" t="s">
        <v>65</v>
      </c>
      <c r="B100" s="2" t="s">
        <v>34</v>
      </c>
      <c r="C100" s="2" t="s">
        <v>37</v>
      </c>
      <c r="D100" s="2" t="s">
        <v>54</v>
      </c>
      <c r="E100" s="2" t="s">
        <v>36</v>
      </c>
      <c r="F100" s="3">
        <f>'Precios Tab Dreamfull-sheets'!$G$5</f>
        <v>18100</v>
      </c>
      <c r="G100" s="3">
        <v>23500</v>
      </c>
      <c r="H100" s="3">
        <v>19300</v>
      </c>
      <c r="I100" s="3">
        <v>19300</v>
      </c>
      <c r="J100" s="3">
        <v>18800</v>
      </c>
      <c r="K100" s="3">
        <v>18200</v>
      </c>
      <c r="L100" s="3">
        <f t="shared" si="22"/>
        <v>18800</v>
      </c>
      <c r="M100" s="3">
        <f t="shared" si="21"/>
        <v>18800</v>
      </c>
      <c r="N100" s="5">
        <f t="shared" si="11"/>
        <v>1200</v>
      </c>
      <c r="O100" s="4">
        <f t="shared" si="12"/>
        <v>6.2176165803108807E-2</v>
      </c>
      <c r="P100" s="5">
        <f t="shared" si="13"/>
        <v>700</v>
      </c>
      <c r="Q100" s="4">
        <f t="shared" si="14"/>
        <v>3.7234042553191488E-2</v>
      </c>
      <c r="R100" s="5">
        <f t="shared" si="15"/>
        <v>100</v>
      </c>
      <c r="S100" s="4">
        <f t="shared" si="16"/>
        <v>5.4945054945054949E-3</v>
      </c>
      <c r="T100" s="5">
        <f t="shared" si="17"/>
        <v>700</v>
      </c>
      <c r="U100" s="4">
        <f t="shared" si="18"/>
        <v>3.7234042553191488E-2</v>
      </c>
      <c r="V100" s="5">
        <f t="shared" si="19"/>
        <v>700</v>
      </c>
      <c r="W100" s="4">
        <f t="shared" si="20"/>
        <v>3.7234042553191488E-2</v>
      </c>
    </row>
    <row r="101" spans="1:23" ht="15.75" customHeight="1" x14ac:dyDescent="0.2">
      <c r="A101" s="2" t="s">
        <v>65</v>
      </c>
      <c r="B101" s="2" t="s">
        <v>34</v>
      </c>
      <c r="C101" s="2" t="s">
        <v>37</v>
      </c>
      <c r="D101" s="2" t="s">
        <v>55</v>
      </c>
      <c r="E101" s="2" t="s">
        <v>36</v>
      </c>
      <c r="F101" s="3">
        <f>'Precios Tab Dreamfull-sheets'!$G$5</f>
        <v>18100</v>
      </c>
      <c r="G101" s="3">
        <v>23500</v>
      </c>
      <c r="H101" s="3">
        <v>19300</v>
      </c>
      <c r="I101" s="3">
        <v>19300</v>
      </c>
      <c r="J101" s="3">
        <v>18800</v>
      </c>
      <c r="K101" s="3">
        <v>18200</v>
      </c>
      <c r="L101" s="3">
        <f t="shared" si="22"/>
        <v>18800</v>
      </c>
      <c r="M101" s="3">
        <f t="shared" si="21"/>
        <v>18800</v>
      </c>
      <c r="N101" s="5">
        <f t="shared" si="11"/>
        <v>1200</v>
      </c>
      <c r="O101" s="4">
        <f t="shared" si="12"/>
        <v>6.2176165803108807E-2</v>
      </c>
      <c r="P101" s="5">
        <f t="shared" si="13"/>
        <v>700</v>
      </c>
      <c r="Q101" s="4">
        <f t="shared" si="14"/>
        <v>3.7234042553191488E-2</v>
      </c>
      <c r="R101" s="5">
        <f t="shared" si="15"/>
        <v>100</v>
      </c>
      <c r="S101" s="4">
        <f t="shared" si="16"/>
        <v>5.4945054945054949E-3</v>
      </c>
      <c r="T101" s="5">
        <f t="shared" si="17"/>
        <v>700</v>
      </c>
      <c r="U101" s="4">
        <f t="shared" si="18"/>
        <v>3.7234042553191488E-2</v>
      </c>
      <c r="V101" s="5">
        <f t="shared" si="19"/>
        <v>700</v>
      </c>
      <c r="W101" s="4">
        <f t="shared" si="20"/>
        <v>3.7234042553191488E-2</v>
      </c>
    </row>
    <row r="102" spans="1:23" ht="15.75" customHeight="1" x14ac:dyDescent="0.2">
      <c r="A102" s="2" t="s">
        <v>65</v>
      </c>
      <c r="B102" s="2" t="s">
        <v>34</v>
      </c>
      <c r="C102" s="2" t="s">
        <v>37</v>
      </c>
      <c r="D102" s="2" t="s">
        <v>56</v>
      </c>
      <c r="E102" s="2" t="s">
        <v>36</v>
      </c>
      <c r="F102" s="3">
        <f>'Precios Tab Dreamfull-sheets'!$G$5</f>
        <v>18100</v>
      </c>
      <c r="G102" s="3">
        <v>23500</v>
      </c>
      <c r="H102" s="3">
        <v>19300</v>
      </c>
      <c r="I102" s="3">
        <v>19300</v>
      </c>
      <c r="J102" s="3">
        <v>18800</v>
      </c>
      <c r="K102" s="3">
        <v>18200</v>
      </c>
      <c r="L102" s="3">
        <f t="shared" si="22"/>
        <v>18800</v>
      </c>
      <c r="M102" s="3">
        <f t="shared" si="21"/>
        <v>18800</v>
      </c>
      <c r="N102" s="5">
        <f t="shared" si="11"/>
        <v>1200</v>
      </c>
      <c r="O102" s="4">
        <f t="shared" si="12"/>
        <v>6.2176165803108807E-2</v>
      </c>
      <c r="P102" s="5">
        <f t="shared" si="13"/>
        <v>700</v>
      </c>
      <c r="Q102" s="4">
        <f t="shared" si="14"/>
        <v>3.7234042553191488E-2</v>
      </c>
      <c r="R102" s="5">
        <f t="shared" si="15"/>
        <v>100</v>
      </c>
      <c r="S102" s="4">
        <f t="shared" si="16"/>
        <v>5.4945054945054949E-3</v>
      </c>
      <c r="T102" s="5">
        <f t="shared" si="17"/>
        <v>700</v>
      </c>
      <c r="U102" s="4">
        <f t="shared" si="18"/>
        <v>3.7234042553191488E-2</v>
      </c>
      <c r="V102" s="5">
        <f t="shared" si="19"/>
        <v>700</v>
      </c>
      <c r="W102" s="4">
        <f t="shared" si="20"/>
        <v>3.7234042553191488E-2</v>
      </c>
    </row>
    <row r="103" spans="1:23" ht="15.75" customHeight="1" x14ac:dyDescent="0.2">
      <c r="A103" s="2" t="s">
        <v>65</v>
      </c>
      <c r="B103" s="2" t="s">
        <v>34</v>
      </c>
      <c r="C103" s="2" t="s">
        <v>37</v>
      </c>
      <c r="D103" s="2" t="s">
        <v>57</v>
      </c>
      <c r="E103" s="2" t="s">
        <v>36</v>
      </c>
      <c r="F103" s="3">
        <f>'Precios Tab Dreamfull-sheets'!$G$5</f>
        <v>18100</v>
      </c>
      <c r="G103" s="3">
        <v>23500</v>
      </c>
      <c r="H103" s="3">
        <v>19300</v>
      </c>
      <c r="I103" s="3">
        <v>19300</v>
      </c>
      <c r="J103" s="3">
        <v>18800</v>
      </c>
      <c r="K103" s="3">
        <v>18200</v>
      </c>
      <c r="L103" s="3">
        <f t="shared" si="22"/>
        <v>18800</v>
      </c>
      <c r="M103" s="3">
        <f t="shared" si="21"/>
        <v>18800</v>
      </c>
      <c r="N103" s="5">
        <f t="shared" si="11"/>
        <v>1200</v>
      </c>
      <c r="O103" s="4">
        <f t="shared" si="12"/>
        <v>6.2176165803108807E-2</v>
      </c>
      <c r="P103" s="5">
        <f t="shared" si="13"/>
        <v>700</v>
      </c>
      <c r="Q103" s="4">
        <f t="shared" si="14"/>
        <v>3.7234042553191488E-2</v>
      </c>
      <c r="R103" s="5">
        <f t="shared" si="15"/>
        <v>100</v>
      </c>
      <c r="S103" s="4">
        <f t="shared" si="16"/>
        <v>5.4945054945054949E-3</v>
      </c>
      <c r="T103" s="5">
        <f t="shared" si="17"/>
        <v>700</v>
      </c>
      <c r="U103" s="4">
        <f t="shared" si="18"/>
        <v>3.7234042553191488E-2</v>
      </c>
      <c r="V103" s="5">
        <f t="shared" si="19"/>
        <v>700</v>
      </c>
      <c r="W103" s="4">
        <f t="shared" si="20"/>
        <v>3.7234042553191488E-2</v>
      </c>
    </row>
    <row r="104" spans="1:23" ht="15.75" customHeight="1" x14ac:dyDescent="0.2">
      <c r="A104" s="2" t="s">
        <v>65</v>
      </c>
      <c r="B104" s="2" t="s">
        <v>34</v>
      </c>
      <c r="C104" s="2" t="s">
        <v>37</v>
      </c>
      <c r="D104" s="2" t="s">
        <v>58</v>
      </c>
      <c r="E104" s="2" t="s">
        <v>36</v>
      </c>
      <c r="F104" s="3">
        <f>'Precios Tab Dreamfull-sheets'!$G$5</f>
        <v>18100</v>
      </c>
      <c r="G104" s="3">
        <v>23500</v>
      </c>
      <c r="H104" s="3">
        <v>19300</v>
      </c>
      <c r="I104" s="3">
        <v>19300</v>
      </c>
      <c r="J104" s="3">
        <v>18800</v>
      </c>
      <c r="K104" s="3">
        <v>18200</v>
      </c>
      <c r="L104" s="3">
        <f t="shared" si="22"/>
        <v>18800</v>
      </c>
      <c r="M104" s="3">
        <f t="shared" si="21"/>
        <v>18800</v>
      </c>
      <c r="N104" s="5">
        <f t="shared" si="11"/>
        <v>1200</v>
      </c>
      <c r="O104" s="4">
        <f t="shared" si="12"/>
        <v>6.2176165803108807E-2</v>
      </c>
      <c r="P104" s="5">
        <f t="shared" si="13"/>
        <v>700</v>
      </c>
      <c r="Q104" s="4">
        <f t="shared" si="14"/>
        <v>3.7234042553191488E-2</v>
      </c>
      <c r="R104" s="5">
        <f t="shared" si="15"/>
        <v>100</v>
      </c>
      <c r="S104" s="4">
        <f t="shared" si="16"/>
        <v>5.4945054945054949E-3</v>
      </c>
      <c r="T104" s="5">
        <f t="shared" si="17"/>
        <v>700</v>
      </c>
      <c r="U104" s="4">
        <f t="shared" si="18"/>
        <v>3.7234042553191488E-2</v>
      </c>
      <c r="V104" s="5">
        <f t="shared" si="19"/>
        <v>700</v>
      </c>
      <c r="W104" s="4">
        <f t="shared" si="20"/>
        <v>3.7234042553191488E-2</v>
      </c>
    </row>
    <row r="105" spans="1:23" ht="15.75" customHeight="1" x14ac:dyDescent="0.2">
      <c r="A105" s="2" t="s">
        <v>65</v>
      </c>
      <c r="B105" s="2" t="s">
        <v>34</v>
      </c>
      <c r="C105" s="2" t="s">
        <v>26</v>
      </c>
      <c r="D105" s="2" t="s">
        <v>54</v>
      </c>
      <c r="E105" s="2" t="s">
        <v>36</v>
      </c>
      <c r="F105" s="3">
        <f>'Precios Tab Dreamfull-sheets'!$G$5</f>
        <v>18100</v>
      </c>
      <c r="G105" s="3">
        <v>23500</v>
      </c>
      <c r="H105" s="3">
        <v>19300</v>
      </c>
      <c r="I105" s="3">
        <v>19300</v>
      </c>
      <c r="J105" s="3">
        <v>18800</v>
      </c>
      <c r="K105" s="3">
        <v>18200</v>
      </c>
      <c r="L105" s="3">
        <f t="shared" si="22"/>
        <v>18800</v>
      </c>
      <c r="M105" s="3">
        <f t="shared" si="21"/>
        <v>18800</v>
      </c>
      <c r="N105" s="5">
        <f t="shared" si="11"/>
        <v>1200</v>
      </c>
      <c r="O105" s="4">
        <f t="shared" si="12"/>
        <v>6.2176165803108807E-2</v>
      </c>
      <c r="P105" s="5">
        <f t="shared" si="13"/>
        <v>700</v>
      </c>
      <c r="Q105" s="4">
        <f t="shared" si="14"/>
        <v>3.7234042553191488E-2</v>
      </c>
      <c r="R105" s="5">
        <f t="shared" si="15"/>
        <v>100</v>
      </c>
      <c r="S105" s="4">
        <f t="shared" si="16"/>
        <v>5.4945054945054949E-3</v>
      </c>
      <c r="T105" s="5">
        <f t="shared" si="17"/>
        <v>700</v>
      </c>
      <c r="U105" s="4">
        <f t="shared" si="18"/>
        <v>3.7234042553191488E-2</v>
      </c>
      <c r="V105" s="5">
        <f t="shared" si="19"/>
        <v>700</v>
      </c>
      <c r="W105" s="4">
        <f t="shared" si="20"/>
        <v>3.7234042553191488E-2</v>
      </c>
    </row>
    <row r="106" spans="1:23" ht="15.75" customHeight="1" x14ac:dyDescent="0.2">
      <c r="A106" s="2" t="s">
        <v>65</v>
      </c>
      <c r="B106" s="2" t="s">
        <v>34</v>
      </c>
      <c r="C106" s="2" t="s">
        <v>26</v>
      </c>
      <c r="D106" s="2" t="s">
        <v>55</v>
      </c>
      <c r="E106" s="2" t="s">
        <v>36</v>
      </c>
      <c r="F106" s="3">
        <v>15156</v>
      </c>
      <c r="G106" s="3">
        <v>23500</v>
      </c>
      <c r="H106" s="3">
        <v>19300</v>
      </c>
      <c r="I106" s="3">
        <v>19300</v>
      </c>
      <c r="J106" s="3">
        <v>18800</v>
      </c>
      <c r="K106" s="3">
        <v>18200</v>
      </c>
      <c r="L106" s="3">
        <v>17700</v>
      </c>
      <c r="M106" s="3">
        <v>17200</v>
      </c>
      <c r="N106" s="5">
        <v>4144</v>
      </c>
      <c r="O106" s="4">
        <v>0.21471502590673575</v>
      </c>
      <c r="P106" s="5">
        <v>3644</v>
      </c>
      <c r="Q106" s="4">
        <v>0.19382978723404257</v>
      </c>
      <c r="R106" s="5">
        <v>3044</v>
      </c>
      <c r="S106" s="4">
        <v>0.16725274725274725</v>
      </c>
      <c r="T106" s="5">
        <v>2544</v>
      </c>
      <c r="U106" s="4">
        <v>0.14372881355932204</v>
      </c>
      <c r="V106" s="5">
        <v>2044</v>
      </c>
      <c r="W106" s="4">
        <v>0.11883720930232558</v>
      </c>
    </row>
    <row r="107" spans="1:23" ht="15.75" customHeight="1" x14ac:dyDescent="0.2">
      <c r="A107" s="2" t="s">
        <v>65</v>
      </c>
      <c r="B107" s="2" t="s">
        <v>34</v>
      </c>
      <c r="C107" s="2" t="s">
        <v>26</v>
      </c>
      <c r="D107" s="2" t="s">
        <v>56</v>
      </c>
      <c r="E107" s="2" t="s">
        <v>36</v>
      </c>
      <c r="F107" s="3">
        <v>15156</v>
      </c>
      <c r="G107" s="3">
        <v>23500</v>
      </c>
      <c r="H107" s="3">
        <v>19300</v>
      </c>
      <c r="I107" s="3">
        <v>19300</v>
      </c>
      <c r="J107" s="3">
        <v>18800</v>
      </c>
      <c r="K107" s="3">
        <v>18200</v>
      </c>
      <c r="L107" s="3">
        <v>17700</v>
      </c>
      <c r="M107" s="3">
        <v>17200</v>
      </c>
      <c r="N107" s="5">
        <v>4144</v>
      </c>
      <c r="O107" s="4">
        <v>0.21471502590673575</v>
      </c>
      <c r="P107" s="5">
        <v>3644</v>
      </c>
      <c r="Q107" s="4">
        <v>0.19382978723404257</v>
      </c>
      <c r="R107" s="5">
        <v>3044</v>
      </c>
      <c r="S107" s="4">
        <v>0.16725274725274725</v>
      </c>
      <c r="T107" s="5">
        <v>2544</v>
      </c>
      <c r="U107" s="4">
        <v>0.14372881355932204</v>
      </c>
      <c r="V107" s="5">
        <v>2044</v>
      </c>
      <c r="W107" s="4">
        <v>0.11883720930232558</v>
      </c>
    </row>
    <row r="108" spans="1:23" ht="15.75" customHeight="1" x14ac:dyDescent="0.2">
      <c r="A108" s="2" t="s">
        <v>65</v>
      </c>
      <c r="B108" s="2" t="s">
        <v>34</v>
      </c>
      <c r="C108" s="2" t="s">
        <v>26</v>
      </c>
      <c r="D108" s="2" t="s">
        <v>57</v>
      </c>
      <c r="E108" s="2" t="s">
        <v>36</v>
      </c>
      <c r="F108" s="3">
        <v>15156</v>
      </c>
      <c r="G108" s="3">
        <v>23500</v>
      </c>
      <c r="H108" s="3">
        <v>19300</v>
      </c>
      <c r="I108" s="3">
        <v>19300</v>
      </c>
      <c r="J108" s="3">
        <v>18800</v>
      </c>
      <c r="K108" s="3">
        <v>18200</v>
      </c>
      <c r="L108" s="3">
        <v>17700</v>
      </c>
      <c r="M108" s="3">
        <v>17200</v>
      </c>
      <c r="N108" s="5">
        <v>4144</v>
      </c>
      <c r="O108" s="4">
        <v>0.21471502590673575</v>
      </c>
      <c r="P108" s="5">
        <v>3644</v>
      </c>
      <c r="Q108" s="4">
        <v>0.19382978723404257</v>
      </c>
      <c r="R108" s="5">
        <v>3044</v>
      </c>
      <c r="S108" s="4">
        <v>0.16725274725274725</v>
      </c>
      <c r="T108" s="5">
        <v>2544</v>
      </c>
      <c r="U108" s="4">
        <v>0.14372881355932204</v>
      </c>
      <c r="V108" s="5">
        <v>2044</v>
      </c>
      <c r="W108" s="4">
        <v>0.11883720930232558</v>
      </c>
    </row>
    <row r="109" spans="1:23" ht="15.75" customHeight="1" x14ac:dyDescent="0.2">
      <c r="A109" s="2" t="s">
        <v>65</v>
      </c>
      <c r="B109" s="2" t="s">
        <v>34</v>
      </c>
      <c r="C109" s="2" t="s">
        <v>26</v>
      </c>
      <c r="D109" s="2" t="s">
        <v>58</v>
      </c>
      <c r="E109" s="2" t="s">
        <v>36</v>
      </c>
      <c r="F109" s="3">
        <v>15156</v>
      </c>
      <c r="G109" s="3">
        <v>23500</v>
      </c>
      <c r="H109" s="3">
        <v>19300</v>
      </c>
      <c r="I109" s="3">
        <v>19300</v>
      </c>
      <c r="J109" s="3">
        <v>18800</v>
      </c>
      <c r="K109" s="3">
        <v>18200</v>
      </c>
      <c r="L109" s="3">
        <v>17700</v>
      </c>
      <c r="M109" s="3">
        <v>17200</v>
      </c>
      <c r="N109" s="5">
        <v>4144</v>
      </c>
      <c r="O109" s="4">
        <v>0.21471502590673575</v>
      </c>
      <c r="P109" s="5">
        <v>3644</v>
      </c>
      <c r="Q109" s="4">
        <v>0.19382978723404257</v>
      </c>
      <c r="R109" s="5">
        <v>3044</v>
      </c>
      <c r="S109" s="4">
        <v>0.16725274725274725</v>
      </c>
      <c r="T109" s="5">
        <v>2544</v>
      </c>
      <c r="U109" s="4">
        <v>0.14372881355932204</v>
      </c>
      <c r="V109" s="5">
        <v>2044</v>
      </c>
      <c r="W109" s="4">
        <v>0.11883720930232558</v>
      </c>
    </row>
    <row r="110" spans="1:23" ht="15.75" customHeight="1" x14ac:dyDescent="0.2">
      <c r="A110" s="2" t="s">
        <v>65</v>
      </c>
      <c r="B110" s="2" t="s">
        <v>34</v>
      </c>
      <c r="C110" s="2" t="s">
        <v>33</v>
      </c>
      <c r="D110" s="2" t="s">
        <v>54</v>
      </c>
      <c r="E110" s="2" t="s">
        <v>36</v>
      </c>
      <c r="F110" s="3">
        <v>15156</v>
      </c>
      <c r="G110" s="3">
        <v>23500</v>
      </c>
      <c r="H110" s="3">
        <v>19300</v>
      </c>
      <c r="I110" s="3">
        <v>19300</v>
      </c>
      <c r="J110" s="3">
        <v>18800</v>
      </c>
      <c r="K110" s="3">
        <v>18200</v>
      </c>
      <c r="L110" s="3">
        <v>17700</v>
      </c>
      <c r="M110" s="3">
        <v>17200</v>
      </c>
      <c r="N110" s="5">
        <v>4144</v>
      </c>
      <c r="O110" s="4">
        <v>0.21471502590673575</v>
      </c>
      <c r="P110" s="5">
        <v>3644</v>
      </c>
      <c r="Q110" s="4">
        <v>0.19382978723404257</v>
      </c>
      <c r="R110" s="5">
        <v>3044</v>
      </c>
      <c r="S110" s="4">
        <v>0.16725274725274725</v>
      </c>
      <c r="T110" s="5">
        <v>2544</v>
      </c>
      <c r="U110" s="4">
        <v>0.14372881355932204</v>
      </c>
      <c r="V110" s="5">
        <v>2044</v>
      </c>
      <c r="W110" s="4">
        <v>0.11883720930232558</v>
      </c>
    </row>
    <row r="111" spans="1:23" ht="15.75" customHeight="1" x14ac:dyDescent="0.2">
      <c r="A111" s="2" t="s">
        <v>65</v>
      </c>
      <c r="B111" s="2" t="s">
        <v>34</v>
      </c>
      <c r="C111" s="2" t="s">
        <v>33</v>
      </c>
      <c r="D111" s="2" t="s">
        <v>55</v>
      </c>
      <c r="E111" s="2" t="s">
        <v>36</v>
      </c>
      <c r="F111" s="3">
        <v>15156</v>
      </c>
      <c r="G111" s="3">
        <v>23500</v>
      </c>
      <c r="H111" s="3">
        <v>19300</v>
      </c>
      <c r="I111" s="3">
        <v>19300</v>
      </c>
      <c r="J111" s="3">
        <v>18800</v>
      </c>
      <c r="K111" s="3">
        <v>18200</v>
      </c>
      <c r="L111" s="3">
        <v>17700</v>
      </c>
      <c r="M111" s="3">
        <v>17200</v>
      </c>
      <c r="N111" s="5">
        <v>4144</v>
      </c>
      <c r="O111" s="4">
        <v>0.21471502590673575</v>
      </c>
      <c r="P111" s="5">
        <v>3644</v>
      </c>
      <c r="Q111" s="4">
        <v>0.19382978723404257</v>
      </c>
      <c r="R111" s="5">
        <v>3044</v>
      </c>
      <c r="S111" s="4">
        <v>0.16725274725274725</v>
      </c>
      <c r="T111" s="5">
        <v>2544</v>
      </c>
      <c r="U111" s="4">
        <v>0.14372881355932204</v>
      </c>
      <c r="V111" s="5">
        <v>2044</v>
      </c>
      <c r="W111" s="4">
        <v>0.11883720930232558</v>
      </c>
    </row>
    <row r="112" spans="1:23" ht="15.75" customHeight="1" x14ac:dyDescent="0.2">
      <c r="A112" s="2" t="s">
        <v>65</v>
      </c>
      <c r="B112" s="2" t="s">
        <v>34</v>
      </c>
      <c r="C112" s="2" t="s">
        <v>33</v>
      </c>
      <c r="D112" s="2" t="s">
        <v>56</v>
      </c>
      <c r="E112" s="2" t="s">
        <v>36</v>
      </c>
      <c r="F112" s="3">
        <v>15156</v>
      </c>
      <c r="G112" s="3">
        <v>23500</v>
      </c>
      <c r="H112" s="3">
        <v>19300</v>
      </c>
      <c r="I112" s="3">
        <v>19300</v>
      </c>
      <c r="J112" s="3">
        <v>18800</v>
      </c>
      <c r="K112" s="3">
        <v>18200</v>
      </c>
      <c r="L112" s="3">
        <v>17700</v>
      </c>
      <c r="M112" s="3">
        <v>17200</v>
      </c>
      <c r="N112" s="5">
        <v>4144</v>
      </c>
      <c r="O112" s="4">
        <v>0.21471502590673575</v>
      </c>
      <c r="P112" s="5">
        <v>3644</v>
      </c>
      <c r="Q112" s="4">
        <v>0.19382978723404257</v>
      </c>
      <c r="R112" s="5">
        <v>3044</v>
      </c>
      <c r="S112" s="4">
        <v>0.16725274725274725</v>
      </c>
      <c r="T112" s="5">
        <v>2544</v>
      </c>
      <c r="U112" s="4">
        <v>0.14372881355932204</v>
      </c>
      <c r="V112" s="5">
        <v>2044</v>
      </c>
      <c r="W112" s="4">
        <v>0.11883720930232558</v>
      </c>
    </row>
    <row r="113" spans="1:23" ht="15.75" customHeight="1" x14ac:dyDescent="0.2">
      <c r="A113" s="2" t="s">
        <v>65</v>
      </c>
      <c r="B113" s="2" t="s">
        <v>34</v>
      </c>
      <c r="C113" s="2" t="s">
        <v>33</v>
      </c>
      <c r="D113" s="2" t="s">
        <v>57</v>
      </c>
      <c r="E113" s="2" t="s">
        <v>36</v>
      </c>
      <c r="F113" s="3">
        <v>15156</v>
      </c>
      <c r="G113" s="3">
        <v>23500</v>
      </c>
      <c r="H113" s="3">
        <v>19300</v>
      </c>
      <c r="I113" s="3">
        <v>19300</v>
      </c>
      <c r="J113" s="3">
        <v>18800</v>
      </c>
      <c r="K113" s="3">
        <v>18200</v>
      </c>
      <c r="L113" s="3">
        <v>17700</v>
      </c>
      <c r="M113" s="3">
        <v>17200</v>
      </c>
      <c r="N113" s="5">
        <v>4144</v>
      </c>
      <c r="O113" s="4">
        <v>0.21471502590673575</v>
      </c>
      <c r="P113" s="5">
        <v>3644</v>
      </c>
      <c r="Q113" s="4">
        <v>0.19382978723404257</v>
      </c>
      <c r="R113" s="5">
        <v>3044</v>
      </c>
      <c r="S113" s="4">
        <v>0.16725274725274725</v>
      </c>
      <c r="T113" s="5">
        <v>2544</v>
      </c>
      <c r="U113" s="4">
        <v>0.14372881355932204</v>
      </c>
      <c r="V113" s="5">
        <v>2044</v>
      </c>
      <c r="W113" s="4">
        <v>0.11883720930232558</v>
      </c>
    </row>
    <row r="114" spans="1:23" ht="15.75" customHeight="1" x14ac:dyDescent="0.2">
      <c r="A114" s="2" t="s">
        <v>65</v>
      </c>
      <c r="B114" s="2" t="s">
        <v>34</v>
      </c>
      <c r="C114" s="2" t="s">
        <v>33</v>
      </c>
      <c r="D114" s="2" t="s">
        <v>58</v>
      </c>
      <c r="E114" s="2" t="s">
        <v>36</v>
      </c>
      <c r="F114" s="3">
        <v>15156</v>
      </c>
      <c r="G114" s="3">
        <v>23500</v>
      </c>
      <c r="H114" s="3">
        <v>19300</v>
      </c>
      <c r="I114" s="3">
        <v>19300</v>
      </c>
      <c r="J114" s="3">
        <v>18800</v>
      </c>
      <c r="K114" s="3">
        <v>18200</v>
      </c>
      <c r="L114" s="3">
        <v>17700</v>
      </c>
      <c r="M114" s="3">
        <v>17200</v>
      </c>
      <c r="N114" s="5">
        <v>4144</v>
      </c>
      <c r="O114" s="4">
        <v>0.21471502590673575</v>
      </c>
      <c r="P114" s="5">
        <v>3644</v>
      </c>
      <c r="Q114" s="4">
        <v>0.19382978723404257</v>
      </c>
      <c r="R114" s="5">
        <v>3044</v>
      </c>
      <c r="S114" s="4">
        <v>0.16725274725274725</v>
      </c>
      <c r="T114" s="5">
        <v>2544</v>
      </c>
      <c r="U114" s="4">
        <v>0.14372881355932204</v>
      </c>
      <c r="V114" s="5">
        <v>2044</v>
      </c>
      <c r="W114" s="4">
        <v>0.11883720930232558</v>
      </c>
    </row>
    <row r="115" spans="1:23" ht="15.75" customHeight="1" x14ac:dyDescent="0.2">
      <c r="A115" s="2" t="s">
        <v>66</v>
      </c>
      <c r="B115" s="2" t="s">
        <v>38</v>
      </c>
      <c r="C115" s="2" t="s">
        <v>32</v>
      </c>
      <c r="D115" s="2" t="s">
        <v>54</v>
      </c>
      <c r="E115" s="2" t="s">
        <v>39</v>
      </c>
      <c r="F115" s="3">
        <v>13096</v>
      </c>
      <c r="G115" s="3">
        <v>21800</v>
      </c>
      <c r="H115" s="3">
        <v>17400</v>
      </c>
      <c r="I115" s="3">
        <v>17400</v>
      </c>
      <c r="J115" s="3">
        <v>16800</v>
      </c>
      <c r="K115" s="3">
        <v>16200</v>
      </c>
      <c r="L115" s="3">
        <v>15700</v>
      </c>
      <c r="M115" s="3">
        <v>15100</v>
      </c>
      <c r="N115" s="5">
        <v>4304</v>
      </c>
      <c r="O115" s="4">
        <v>0.24735632183908046</v>
      </c>
      <c r="P115" s="5">
        <v>3704</v>
      </c>
      <c r="Q115" s="4">
        <v>0.22047619047619046</v>
      </c>
      <c r="R115" s="5">
        <v>3104</v>
      </c>
      <c r="S115" s="4">
        <v>0.19160493827160494</v>
      </c>
      <c r="T115" s="5">
        <v>2604</v>
      </c>
      <c r="U115" s="4">
        <v>0.16585987261146498</v>
      </c>
      <c r="V115" s="5">
        <v>2004</v>
      </c>
      <c r="W115" s="4">
        <v>0.13271523178807948</v>
      </c>
    </row>
    <row r="116" spans="1:23" ht="15.75" customHeight="1" x14ac:dyDescent="0.2">
      <c r="A116" s="2" t="s">
        <v>66</v>
      </c>
      <c r="B116" s="2" t="s">
        <v>38</v>
      </c>
      <c r="C116" s="2" t="s">
        <v>32</v>
      </c>
      <c r="D116" s="2" t="s">
        <v>55</v>
      </c>
      <c r="E116" s="2" t="s">
        <v>39</v>
      </c>
      <c r="F116" s="3">
        <v>13096</v>
      </c>
      <c r="G116" s="3">
        <v>21800</v>
      </c>
      <c r="H116" s="3">
        <v>17400</v>
      </c>
      <c r="I116" s="3">
        <v>17400</v>
      </c>
      <c r="J116" s="3">
        <v>16800</v>
      </c>
      <c r="K116" s="3">
        <v>16200</v>
      </c>
      <c r="L116" s="3">
        <v>15700</v>
      </c>
      <c r="M116" s="3">
        <v>15100</v>
      </c>
      <c r="N116" s="5">
        <v>4304</v>
      </c>
      <c r="O116" s="4">
        <v>0.24735632183908046</v>
      </c>
      <c r="P116" s="5">
        <v>3704</v>
      </c>
      <c r="Q116" s="4">
        <v>0.22047619047619046</v>
      </c>
      <c r="R116" s="5">
        <v>3104</v>
      </c>
      <c r="S116" s="4">
        <v>0.19160493827160494</v>
      </c>
      <c r="T116" s="5">
        <v>2604</v>
      </c>
      <c r="U116" s="4">
        <v>0.16585987261146498</v>
      </c>
      <c r="V116" s="5">
        <v>2004</v>
      </c>
      <c r="W116" s="4">
        <v>0.13271523178807948</v>
      </c>
    </row>
    <row r="117" spans="1:23" ht="15.75" customHeight="1" x14ac:dyDescent="0.2">
      <c r="A117" s="2" t="s">
        <v>66</v>
      </c>
      <c r="B117" s="2" t="s">
        <v>38</v>
      </c>
      <c r="C117" s="2" t="s">
        <v>32</v>
      </c>
      <c r="D117" s="2" t="s">
        <v>56</v>
      </c>
      <c r="E117" s="2" t="s">
        <v>39</v>
      </c>
      <c r="F117" s="3">
        <v>13096</v>
      </c>
      <c r="G117" s="3">
        <v>21800</v>
      </c>
      <c r="H117" s="3">
        <v>17400</v>
      </c>
      <c r="I117" s="3">
        <v>17400</v>
      </c>
      <c r="J117" s="3">
        <v>16800</v>
      </c>
      <c r="K117" s="3">
        <v>16200</v>
      </c>
      <c r="L117" s="3">
        <v>15700</v>
      </c>
      <c r="M117" s="3">
        <v>15100</v>
      </c>
      <c r="N117" s="5">
        <v>4304</v>
      </c>
      <c r="O117" s="4">
        <v>0.24735632183908046</v>
      </c>
      <c r="P117" s="5">
        <v>3704</v>
      </c>
      <c r="Q117" s="4">
        <v>0.22047619047619046</v>
      </c>
      <c r="R117" s="5">
        <v>3104</v>
      </c>
      <c r="S117" s="4">
        <v>0.19160493827160494</v>
      </c>
      <c r="T117" s="5">
        <v>2604</v>
      </c>
      <c r="U117" s="4">
        <v>0.16585987261146498</v>
      </c>
      <c r="V117" s="5">
        <v>2004</v>
      </c>
      <c r="W117" s="4">
        <v>0.13271523178807948</v>
      </c>
    </row>
    <row r="118" spans="1:23" ht="15.75" customHeight="1" x14ac:dyDescent="0.2">
      <c r="A118" s="2" t="s">
        <v>66</v>
      </c>
      <c r="B118" s="2" t="s">
        <v>38</v>
      </c>
      <c r="C118" s="2" t="s">
        <v>32</v>
      </c>
      <c r="D118" s="2" t="s">
        <v>57</v>
      </c>
      <c r="E118" s="2" t="s">
        <v>39</v>
      </c>
      <c r="F118" s="3">
        <v>13096</v>
      </c>
      <c r="G118" s="3">
        <v>21800</v>
      </c>
      <c r="H118" s="3">
        <v>17400</v>
      </c>
      <c r="I118" s="3">
        <v>17400</v>
      </c>
      <c r="J118" s="3">
        <v>16800</v>
      </c>
      <c r="K118" s="3">
        <v>16200</v>
      </c>
      <c r="L118" s="3">
        <v>15700</v>
      </c>
      <c r="M118" s="3">
        <v>15100</v>
      </c>
      <c r="N118" s="5">
        <v>4304</v>
      </c>
      <c r="O118" s="4">
        <v>0.24735632183908046</v>
      </c>
      <c r="P118" s="5">
        <v>3704</v>
      </c>
      <c r="Q118" s="4">
        <v>0.22047619047619046</v>
      </c>
      <c r="R118" s="5">
        <v>3104</v>
      </c>
      <c r="S118" s="4">
        <v>0.19160493827160494</v>
      </c>
      <c r="T118" s="5">
        <v>2604</v>
      </c>
      <c r="U118" s="4">
        <v>0.16585987261146498</v>
      </c>
      <c r="V118" s="5">
        <v>2004</v>
      </c>
      <c r="W118" s="4">
        <v>0.13271523178807948</v>
      </c>
    </row>
    <row r="119" spans="1:23" ht="15.75" customHeight="1" x14ac:dyDescent="0.2">
      <c r="A119" s="2" t="s">
        <v>66</v>
      </c>
      <c r="B119" s="2" t="s">
        <v>38</v>
      </c>
      <c r="C119" s="2" t="s">
        <v>32</v>
      </c>
      <c r="D119" s="2" t="s">
        <v>58</v>
      </c>
      <c r="E119" s="2" t="s">
        <v>39</v>
      </c>
      <c r="F119" s="3">
        <v>13096</v>
      </c>
      <c r="G119" s="3">
        <v>21800</v>
      </c>
      <c r="H119" s="3">
        <v>17400</v>
      </c>
      <c r="I119" s="3">
        <v>17400</v>
      </c>
      <c r="J119" s="3">
        <v>16800</v>
      </c>
      <c r="K119" s="3">
        <v>16200</v>
      </c>
      <c r="L119" s="3">
        <v>15700</v>
      </c>
      <c r="M119" s="3">
        <v>15100</v>
      </c>
      <c r="N119" s="5">
        <v>4304</v>
      </c>
      <c r="O119" s="4">
        <v>0.24735632183908046</v>
      </c>
      <c r="P119" s="5">
        <v>3704</v>
      </c>
      <c r="Q119" s="4">
        <v>0.22047619047619046</v>
      </c>
      <c r="R119" s="5">
        <v>3104</v>
      </c>
      <c r="S119" s="4">
        <v>0.19160493827160494</v>
      </c>
      <c r="T119" s="5">
        <v>2604</v>
      </c>
      <c r="U119" s="4">
        <v>0.16585987261146498</v>
      </c>
      <c r="V119" s="5">
        <v>2004</v>
      </c>
      <c r="W119" s="4">
        <v>0.13271523178807948</v>
      </c>
    </row>
    <row r="120" spans="1:23" ht="15.75" customHeight="1" x14ac:dyDescent="0.2">
      <c r="A120" s="2" t="s">
        <v>66</v>
      </c>
      <c r="B120" s="2" t="s">
        <v>38</v>
      </c>
      <c r="C120" s="2" t="s">
        <v>40</v>
      </c>
      <c r="D120" s="2" t="s">
        <v>54</v>
      </c>
      <c r="E120" s="2" t="s">
        <v>39</v>
      </c>
      <c r="F120" s="3">
        <v>13096</v>
      </c>
      <c r="G120" s="3">
        <v>21800</v>
      </c>
      <c r="H120" s="3">
        <v>17400</v>
      </c>
      <c r="I120" s="3">
        <v>17400</v>
      </c>
      <c r="J120" s="3">
        <v>16800</v>
      </c>
      <c r="K120" s="3">
        <v>16200</v>
      </c>
      <c r="L120" s="3">
        <v>15700</v>
      </c>
      <c r="M120" s="3">
        <v>15100</v>
      </c>
      <c r="N120" s="5">
        <v>4304</v>
      </c>
      <c r="O120" s="4">
        <v>0.24735632183908046</v>
      </c>
      <c r="P120" s="5">
        <v>3704</v>
      </c>
      <c r="Q120" s="4">
        <v>0.22047619047619046</v>
      </c>
      <c r="R120" s="5">
        <v>3104</v>
      </c>
      <c r="S120" s="4">
        <v>0.19160493827160494</v>
      </c>
      <c r="T120" s="5">
        <v>2604</v>
      </c>
      <c r="U120" s="4">
        <v>0.16585987261146498</v>
      </c>
      <c r="V120" s="5">
        <v>2004</v>
      </c>
      <c r="W120" s="4">
        <v>0.13271523178807948</v>
      </c>
    </row>
    <row r="121" spans="1:23" ht="15.75" customHeight="1" x14ac:dyDescent="0.2">
      <c r="A121" s="2" t="s">
        <v>66</v>
      </c>
      <c r="B121" s="2" t="s">
        <v>38</v>
      </c>
      <c r="C121" s="2" t="s">
        <v>40</v>
      </c>
      <c r="D121" s="2" t="s">
        <v>55</v>
      </c>
      <c r="E121" s="2" t="s">
        <v>39</v>
      </c>
      <c r="F121" s="3">
        <v>13096</v>
      </c>
      <c r="G121" s="3">
        <v>21800</v>
      </c>
      <c r="H121" s="3">
        <v>17400</v>
      </c>
      <c r="I121" s="3">
        <v>17400</v>
      </c>
      <c r="J121" s="3">
        <v>16800</v>
      </c>
      <c r="K121" s="3">
        <v>16200</v>
      </c>
      <c r="L121" s="3">
        <v>15700</v>
      </c>
      <c r="M121" s="3">
        <v>15100</v>
      </c>
      <c r="N121" s="5">
        <v>4304</v>
      </c>
      <c r="O121" s="4">
        <v>0.24735632183908046</v>
      </c>
      <c r="P121" s="5">
        <v>3704</v>
      </c>
      <c r="Q121" s="4">
        <v>0.22047619047619046</v>
      </c>
      <c r="R121" s="5">
        <v>3104</v>
      </c>
      <c r="S121" s="4">
        <v>0.19160493827160494</v>
      </c>
      <c r="T121" s="5">
        <v>2604</v>
      </c>
      <c r="U121" s="4">
        <v>0.16585987261146498</v>
      </c>
      <c r="V121" s="5">
        <v>2004</v>
      </c>
      <c r="W121" s="4">
        <v>0.13271523178807948</v>
      </c>
    </row>
    <row r="122" spans="1:23" ht="15.75" customHeight="1" x14ac:dyDescent="0.2">
      <c r="A122" s="2" t="s">
        <v>66</v>
      </c>
      <c r="B122" s="2" t="s">
        <v>38</v>
      </c>
      <c r="C122" s="2" t="s">
        <v>40</v>
      </c>
      <c r="D122" s="2" t="s">
        <v>56</v>
      </c>
      <c r="E122" s="2" t="s">
        <v>39</v>
      </c>
      <c r="F122" s="3">
        <v>13096</v>
      </c>
      <c r="G122" s="3">
        <v>21800</v>
      </c>
      <c r="H122" s="3">
        <v>17400</v>
      </c>
      <c r="I122" s="3">
        <v>17400</v>
      </c>
      <c r="J122" s="3">
        <v>16800</v>
      </c>
      <c r="K122" s="3">
        <v>16200</v>
      </c>
      <c r="L122" s="3">
        <v>15700</v>
      </c>
      <c r="M122" s="3">
        <v>15100</v>
      </c>
      <c r="N122" s="5">
        <v>4304</v>
      </c>
      <c r="O122" s="4">
        <v>0.24735632183908046</v>
      </c>
      <c r="P122" s="5">
        <v>3704</v>
      </c>
      <c r="Q122" s="4">
        <v>0.22047619047619046</v>
      </c>
      <c r="R122" s="5">
        <v>3104</v>
      </c>
      <c r="S122" s="4">
        <v>0.19160493827160494</v>
      </c>
      <c r="T122" s="5">
        <v>2604</v>
      </c>
      <c r="U122" s="4">
        <v>0.16585987261146498</v>
      </c>
      <c r="V122" s="5">
        <v>2004</v>
      </c>
      <c r="W122" s="4">
        <v>0.13271523178807948</v>
      </c>
    </row>
    <row r="123" spans="1:23" ht="15.75" customHeight="1" x14ac:dyDescent="0.2">
      <c r="A123" s="2" t="s">
        <v>66</v>
      </c>
      <c r="B123" s="2" t="s">
        <v>38</v>
      </c>
      <c r="C123" s="2" t="s">
        <v>40</v>
      </c>
      <c r="D123" s="2" t="s">
        <v>57</v>
      </c>
      <c r="E123" s="2" t="s">
        <v>39</v>
      </c>
      <c r="F123" s="3">
        <v>13096</v>
      </c>
      <c r="G123" s="3">
        <v>21800</v>
      </c>
      <c r="H123" s="3">
        <v>17400</v>
      </c>
      <c r="I123" s="3">
        <v>17400</v>
      </c>
      <c r="J123" s="3">
        <v>16800</v>
      </c>
      <c r="K123" s="3">
        <v>16200</v>
      </c>
      <c r="L123" s="3">
        <v>15700</v>
      </c>
      <c r="M123" s="3">
        <v>15100</v>
      </c>
      <c r="N123" s="5">
        <v>4304</v>
      </c>
      <c r="O123" s="4">
        <v>0.24735632183908046</v>
      </c>
      <c r="P123" s="5">
        <v>3704</v>
      </c>
      <c r="Q123" s="4">
        <v>0.22047619047619046</v>
      </c>
      <c r="R123" s="5">
        <v>3104</v>
      </c>
      <c r="S123" s="4">
        <v>0.19160493827160494</v>
      </c>
      <c r="T123" s="5">
        <v>2604</v>
      </c>
      <c r="U123" s="4">
        <v>0.16585987261146498</v>
      </c>
      <c r="V123" s="5">
        <v>2004</v>
      </c>
      <c r="W123" s="4">
        <v>0.13271523178807948</v>
      </c>
    </row>
    <row r="124" spans="1:23" ht="15.75" customHeight="1" x14ac:dyDescent="0.2">
      <c r="A124" s="2" t="s">
        <v>66</v>
      </c>
      <c r="B124" s="2" t="s">
        <v>38</v>
      </c>
      <c r="C124" s="2" t="s">
        <v>40</v>
      </c>
      <c r="D124" s="2" t="s">
        <v>58</v>
      </c>
      <c r="E124" s="2" t="s">
        <v>39</v>
      </c>
      <c r="F124" s="3">
        <v>13096</v>
      </c>
      <c r="G124" s="3">
        <v>21800</v>
      </c>
      <c r="H124" s="3">
        <v>17400</v>
      </c>
      <c r="I124" s="3">
        <v>17400</v>
      </c>
      <c r="J124" s="3">
        <v>16800</v>
      </c>
      <c r="K124" s="3">
        <v>16200</v>
      </c>
      <c r="L124" s="3">
        <v>15700</v>
      </c>
      <c r="M124" s="3">
        <v>15100</v>
      </c>
      <c r="N124" s="5">
        <v>4304</v>
      </c>
      <c r="O124" s="4">
        <v>0.24735632183908046</v>
      </c>
      <c r="P124" s="5">
        <v>3704</v>
      </c>
      <c r="Q124" s="4">
        <v>0.22047619047619046</v>
      </c>
      <c r="R124" s="5">
        <v>3104</v>
      </c>
      <c r="S124" s="4">
        <v>0.19160493827160494</v>
      </c>
      <c r="T124" s="5">
        <v>2604</v>
      </c>
      <c r="U124" s="4">
        <v>0.16585987261146498</v>
      </c>
      <c r="V124" s="5">
        <v>2004</v>
      </c>
      <c r="W124" s="4">
        <v>0.13271523178807948</v>
      </c>
    </row>
    <row r="125" spans="1:23" ht="15.75" customHeight="1" x14ac:dyDescent="0.2">
      <c r="A125" s="2" t="s">
        <v>66</v>
      </c>
      <c r="B125" s="2" t="s">
        <v>38</v>
      </c>
      <c r="C125" s="2" t="s">
        <v>33</v>
      </c>
      <c r="D125" s="2" t="s">
        <v>54</v>
      </c>
      <c r="E125" s="2" t="s">
        <v>39</v>
      </c>
      <c r="F125" s="3">
        <v>13096</v>
      </c>
      <c r="G125" s="3">
        <v>21800</v>
      </c>
      <c r="H125" s="3">
        <v>17400</v>
      </c>
      <c r="I125" s="3">
        <v>17400</v>
      </c>
      <c r="J125" s="3">
        <v>16800</v>
      </c>
      <c r="K125" s="3">
        <v>16200</v>
      </c>
      <c r="L125" s="3">
        <v>15700</v>
      </c>
      <c r="M125" s="3">
        <v>15100</v>
      </c>
      <c r="N125" s="5">
        <v>4304</v>
      </c>
      <c r="O125" s="4">
        <v>0.24735632183908046</v>
      </c>
      <c r="P125" s="5">
        <v>3704</v>
      </c>
      <c r="Q125" s="4">
        <v>0.22047619047619046</v>
      </c>
      <c r="R125" s="5">
        <v>3104</v>
      </c>
      <c r="S125" s="4">
        <v>0.19160493827160494</v>
      </c>
      <c r="T125" s="5">
        <v>2604</v>
      </c>
      <c r="U125" s="4">
        <v>0.16585987261146498</v>
      </c>
      <c r="V125" s="5">
        <v>2004</v>
      </c>
      <c r="W125" s="4">
        <v>0.13271523178807948</v>
      </c>
    </row>
    <row r="126" spans="1:23" ht="15.75" customHeight="1" x14ac:dyDescent="0.2">
      <c r="A126" s="2" t="s">
        <v>66</v>
      </c>
      <c r="B126" s="2" t="s">
        <v>38</v>
      </c>
      <c r="C126" s="2" t="s">
        <v>33</v>
      </c>
      <c r="D126" s="2" t="s">
        <v>55</v>
      </c>
      <c r="E126" s="2" t="s">
        <v>39</v>
      </c>
      <c r="F126" s="3">
        <v>13096</v>
      </c>
      <c r="G126" s="3">
        <v>21800</v>
      </c>
      <c r="H126" s="3">
        <v>17400</v>
      </c>
      <c r="I126" s="3">
        <v>17400</v>
      </c>
      <c r="J126" s="3">
        <v>16800</v>
      </c>
      <c r="K126" s="3">
        <v>16200</v>
      </c>
      <c r="L126" s="3">
        <v>15700</v>
      </c>
      <c r="M126" s="3">
        <v>15100</v>
      </c>
      <c r="N126" s="5">
        <v>4304</v>
      </c>
      <c r="O126" s="4">
        <v>0.24735632183908046</v>
      </c>
      <c r="P126" s="5">
        <v>3704</v>
      </c>
      <c r="Q126" s="4">
        <v>0.22047619047619046</v>
      </c>
      <c r="R126" s="5">
        <v>3104</v>
      </c>
      <c r="S126" s="4">
        <v>0.19160493827160494</v>
      </c>
      <c r="T126" s="5">
        <v>2604</v>
      </c>
      <c r="U126" s="4">
        <v>0.16585987261146498</v>
      </c>
      <c r="V126" s="5">
        <v>2004</v>
      </c>
      <c r="W126" s="4">
        <v>0.13271523178807948</v>
      </c>
    </row>
    <row r="127" spans="1:23" ht="15.75" customHeight="1" x14ac:dyDescent="0.2">
      <c r="A127" s="2" t="s">
        <v>66</v>
      </c>
      <c r="B127" s="2" t="s">
        <v>38</v>
      </c>
      <c r="C127" s="2" t="s">
        <v>33</v>
      </c>
      <c r="D127" s="2" t="s">
        <v>56</v>
      </c>
      <c r="E127" s="2" t="s">
        <v>39</v>
      </c>
      <c r="F127" s="3">
        <v>13096</v>
      </c>
      <c r="G127" s="3">
        <v>21800</v>
      </c>
      <c r="H127" s="3">
        <v>17400</v>
      </c>
      <c r="I127" s="3">
        <v>17400</v>
      </c>
      <c r="J127" s="3">
        <v>16800</v>
      </c>
      <c r="K127" s="3">
        <v>16200</v>
      </c>
      <c r="L127" s="3">
        <v>15700</v>
      </c>
      <c r="M127" s="3">
        <v>15100</v>
      </c>
      <c r="N127" s="5">
        <v>4304</v>
      </c>
      <c r="O127" s="4">
        <v>0.24735632183908046</v>
      </c>
      <c r="P127" s="5">
        <v>3704</v>
      </c>
      <c r="Q127" s="4">
        <v>0.22047619047619046</v>
      </c>
      <c r="R127" s="5">
        <v>3104</v>
      </c>
      <c r="S127" s="4">
        <v>0.19160493827160494</v>
      </c>
      <c r="T127" s="5">
        <v>2604</v>
      </c>
      <c r="U127" s="4">
        <v>0.16585987261146498</v>
      </c>
      <c r="V127" s="5">
        <v>2004</v>
      </c>
      <c r="W127" s="4">
        <v>0.13271523178807948</v>
      </c>
    </row>
    <row r="128" spans="1:23" ht="15.75" customHeight="1" x14ac:dyDescent="0.2">
      <c r="A128" s="2" t="s">
        <v>66</v>
      </c>
      <c r="B128" s="2" t="s">
        <v>38</v>
      </c>
      <c r="C128" s="2" t="s">
        <v>33</v>
      </c>
      <c r="D128" s="2" t="s">
        <v>57</v>
      </c>
      <c r="E128" s="2" t="s">
        <v>39</v>
      </c>
      <c r="F128" s="3">
        <v>13096</v>
      </c>
      <c r="G128" s="3">
        <v>21800</v>
      </c>
      <c r="H128" s="3">
        <v>17400</v>
      </c>
      <c r="I128" s="3">
        <v>17400</v>
      </c>
      <c r="J128" s="3">
        <v>16800</v>
      </c>
      <c r="K128" s="3">
        <v>16200</v>
      </c>
      <c r="L128" s="3">
        <v>15700</v>
      </c>
      <c r="M128" s="3">
        <v>15100</v>
      </c>
      <c r="N128" s="5">
        <v>4304</v>
      </c>
      <c r="O128" s="4">
        <v>0.24735632183908046</v>
      </c>
      <c r="P128" s="5">
        <v>3704</v>
      </c>
      <c r="Q128" s="4">
        <v>0.22047619047619046</v>
      </c>
      <c r="R128" s="5">
        <v>3104</v>
      </c>
      <c r="S128" s="4">
        <v>0.19160493827160494</v>
      </c>
      <c r="T128" s="5">
        <v>2604</v>
      </c>
      <c r="U128" s="4">
        <v>0.16585987261146498</v>
      </c>
      <c r="V128" s="5">
        <v>2004</v>
      </c>
      <c r="W128" s="4">
        <v>0.13271523178807948</v>
      </c>
    </row>
    <row r="129" spans="1:23" ht="15.75" customHeight="1" x14ac:dyDescent="0.2">
      <c r="A129" s="2" t="s">
        <v>66</v>
      </c>
      <c r="B129" s="2" t="s">
        <v>38</v>
      </c>
      <c r="C129" s="2" t="s">
        <v>33</v>
      </c>
      <c r="D129" s="2" t="s">
        <v>58</v>
      </c>
      <c r="E129" s="2" t="s">
        <v>39</v>
      </c>
      <c r="F129" s="3">
        <v>13096</v>
      </c>
      <c r="G129" s="3">
        <v>21800</v>
      </c>
      <c r="H129" s="3">
        <v>17400</v>
      </c>
      <c r="I129" s="3">
        <v>17400</v>
      </c>
      <c r="J129" s="3">
        <v>16800</v>
      </c>
      <c r="K129" s="3">
        <v>16200</v>
      </c>
      <c r="L129" s="3">
        <v>15700</v>
      </c>
      <c r="M129" s="3">
        <v>15100</v>
      </c>
      <c r="N129" s="5">
        <v>4304</v>
      </c>
      <c r="O129" s="4">
        <v>0.24735632183908046</v>
      </c>
      <c r="P129" s="5">
        <v>3704</v>
      </c>
      <c r="Q129" s="4">
        <v>0.22047619047619046</v>
      </c>
      <c r="R129" s="5">
        <v>3104</v>
      </c>
      <c r="S129" s="4">
        <v>0.19160493827160494</v>
      </c>
      <c r="T129" s="5">
        <v>2604</v>
      </c>
      <c r="U129" s="4">
        <v>0.16585987261146498</v>
      </c>
      <c r="V129" s="5">
        <v>2004</v>
      </c>
      <c r="W129" s="4">
        <v>0.13271523178807948</v>
      </c>
    </row>
    <row r="130" spans="1:23" ht="15.75" customHeight="1" x14ac:dyDescent="0.2"/>
    <row r="131" spans="1:23" ht="15.75" customHeight="1" x14ac:dyDescent="0.2"/>
    <row r="132" spans="1:23" ht="15.75" customHeight="1" x14ac:dyDescent="0.2"/>
    <row r="133" spans="1:23" ht="15.75" customHeight="1" x14ac:dyDescent="0.2"/>
    <row r="134" spans="1:23" ht="15.75" customHeight="1" x14ac:dyDescent="0.2"/>
    <row r="135" spans="1:23" ht="15.75" customHeight="1" x14ac:dyDescent="0.2"/>
    <row r="136" spans="1:23" ht="15.75" customHeight="1" x14ac:dyDescent="0.2"/>
    <row r="137" spans="1:23" ht="15.75" customHeight="1" x14ac:dyDescent="0.2"/>
    <row r="138" spans="1:23" ht="15.75" customHeight="1" x14ac:dyDescent="0.2"/>
    <row r="139" spans="1:23" ht="15.75" customHeight="1" x14ac:dyDescent="0.2"/>
    <row r="140" spans="1:23" ht="15.75" customHeight="1" x14ac:dyDescent="0.2"/>
    <row r="141" spans="1:23" ht="15.75" customHeight="1" x14ac:dyDescent="0.2"/>
    <row r="142" spans="1:23" ht="15.75" customHeight="1" x14ac:dyDescent="0.2"/>
    <row r="143" spans="1:23" ht="15.75" customHeight="1" x14ac:dyDescent="0.2"/>
    <row r="144" spans="1:23"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workbookViewId="0"/>
  </sheetViews>
  <sheetFormatPr baseColWidth="10" defaultColWidth="14.5" defaultRowHeight="15" customHeight="1" x14ac:dyDescent="0.2"/>
  <cols>
    <col min="1" max="1" width="16.33203125" customWidth="1"/>
    <col min="2" max="2" width="18.5" customWidth="1"/>
    <col min="3" max="3" width="9.5" customWidth="1"/>
    <col min="4" max="4" width="9.6640625" customWidth="1"/>
    <col min="5" max="6" width="7.6640625" customWidth="1"/>
    <col min="7" max="7" width="10.33203125" customWidth="1"/>
    <col min="8" max="8" width="11.33203125" customWidth="1"/>
    <col min="9" max="9" width="10.6640625" customWidth="1"/>
    <col min="10" max="10" width="11.83203125" customWidth="1"/>
    <col min="11" max="11" width="10.6640625" customWidth="1"/>
    <col min="12" max="12" width="19.1640625" customWidth="1"/>
    <col min="13" max="13" width="16.83203125" customWidth="1"/>
    <col min="14" max="14" width="14.6640625" customWidth="1"/>
    <col min="15" max="15" width="12" customWidth="1"/>
    <col min="16" max="16" width="13.1640625" customWidth="1"/>
    <col min="17" max="17" width="12.6640625" customWidth="1"/>
  </cols>
  <sheetData>
    <row r="1" spans="1:17" x14ac:dyDescent="0.2">
      <c r="A1" s="1" t="s">
        <v>0</v>
      </c>
      <c r="B1" s="1" t="s">
        <v>1</v>
      </c>
      <c r="C1" s="1" t="s">
        <v>67</v>
      </c>
      <c r="D1" s="1" t="s">
        <v>68</v>
      </c>
      <c r="E1" s="1" t="s">
        <v>5</v>
      </c>
      <c r="F1" s="1" t="s">
        <v>6</v>
      </c>
      <c r="G1" s="1" t="s">
        <v>7</v>
      </c>
      <c r="H1" s="1" t="s">
        <v>8</v>
      </c>
      <c r="I1" s="1" t="s">
        <v>9</v>
      </c>
      <c r="J1" s="1" t="s">
        <v>10</v>
      </c>
      <c r="K1" s="1" t="s">
        <v>11</v>
      </c>
      <c r="L1" s="1" t="s">
        <v>69</v>
      </c>
      <c r="M1" s="1" t="s">
        <v>70</v>
      </c>
      <c r="N1" s="1" t="s">
        <v>71</v>
      </c>
      <c r="O1" s="1" t="s">
        <v>72</v>
      </c>
      <c r="P1" s="1" t="s">
        <v>73</v>
      </c>
      <c r="Q1" s="1" t="s">
        <v>74</v>
      </c>
    </row>
    <row r="2" spans="1:17" x14ac:dyDescent="0.2">
      <c r="B2" s="2" t="s">
        <v>17</v>
      </c>
      <c r="C2" s="3">
        <f>MIN(Precios_Para_Comunicar!E2:E4)</f>
        <v>24100</v>
      </c>
      <c r="D2" s="3">
        <f>MAX(Precios_Para_Comunicar!E2:E4)</f>
        <v>28170</v>
      </c>
      <c r="E2" s="3">
        <v>43000</v>
      </c>
      <c r="F2" s="3">
        <v>32200</v>
      </c>
      <c r="G2" s="3">
        <f>MIN(Precios_Para_Comunicar!H2:H4)</f>
        <v>32200</v>
      </c>
      <c r="H2" s="3">
        <f>MIN(Precios_Para_Comunicar!I2:I4)</f>
        <v>31200</v>
      </c>
      <c r="I2" s="3">
        <f>MIN(Precios_Para_Comunicar!J2:J4)</f>
        <v>30200</v>
      </c>
      <c r="J2" s="3">
        <f>MIN(Precios_Para_Comunicar!K2:K4)</f>
        <v>29200</v>
      </c>
      <c r="K2" s="3">
        <f>MIN(Precios_Para_Comunicar!L2:L4)</f>
        <v>28200</v>
      </c>
      <c r="L2" s="4">
        <f>MIN(Precios_Para_Comunicar!M2:M4)</f>
        <v>0.12515527950310559</v>
      </c>
      <c r="M2" s="4">
        <f>MAX(Precios_Para_Comunicar!Q2:Q4)</f>
        <v>0.1453900709219858</v>
      </c>
      <c r="N2" s="2" t="s">
        <v>75</v>
      </c>
      <c r="O2" s="2" t="s">
        <v>76</v>
      </c>
      <c r="P2" s="2" t="s">
        <v>77</v>
      </c>
      <c r="Q2" s="2" t="s">
        <v>78</v>
      </c>
    </row>
    <row r="3" spans="1:17" x14ac:dyDescent="0.2">
      <c r="B3" s="2" t="s">
        <v>22</v>
      </c>
      <c r="C3" s="3">
        <f>MIN(Precios_Para_Comunicar!E5:E10)</f>
        <v>25100</v>
      </c>
      <c r="D3" s="3">
        <f>MAX(Precios_Para_Comunicar!E5:E10)</f>
        <v>30170</v>
      </c>
      <c r="E3" s="3">
        <v>55000</v>
      </c>
      <c r="F3" s="3">
        <v>38700</v>
      </c>
      <c r="G3" s="3">
        <f>MIN(Precios_Para_Comunicar!H5:H10)</f>
        <v>38700</v>
      </c>
      <c r="H3" s="3">
        <f>MIN(Precios_Para_Comunicar!I5:I10)</f>
        <v>36600</v>
      </c>
      <c r="I3" s="3">
        <f>MIN(Precios_Para_Comunicar!J5:J10)</f>
        <v>34500</v>
      </c>
      <c r="J3" s="3">
        <f>MIN(Precios_Para_Comunicar!K5:K10)</f>
        <v>32400</v>
      </c>
      <c r="K3" s="3">
        <f>MIN(Precios_Para_Comunicar!L5:L10)</f>
        <v>30300</v>
      </c>
      <c r="L3" s="4">
        <f>MIN(Precios_Para_Comunicar!M5:M10)</f>
        <v>0.22041343669250646</v>
      </c>
      <c r="M3" s="4">
        <f>MAX(Precios_Para_Comunicar!Q5:Q10)</f>
        <v>0.17161716171617161</v>
      </c>
      <c r="N3" s="2" t="s">
        <v>75</v>
      </c>
      <c r="O3" s="2" t="s">
        <v>76</v>
      </c>
      <c r="P3" s="2" t="s">
        <v>77</v>
      </c>
      <c r="Q3" s="2" t="s">
        <v>78</v>
      </c>
    </row>
    <row r="4" spans="1:17" x14ac:dyDescent="0.2">
      <c r="B4" s="2" t="s">
        <v>27</v>
      </c>
      <c r="C4" s="3">
        <f>MIN(Precios_Para_Comunicar!E11:E14)</f>
        <v>19000</v>
      </c>
      <c r="D4" s="3">
        <f>MAX(Precios_Para_Comunicar!E11:E14)</f>
        <v>23470</v>
      </c>
      <c r="E4" s="3">
        <v>31000</v>
      </c>
      <c r="F4" s="3">
        <v>25400</v>
      </c>
      <c r="G4" s="3">
        <f>MIN(Precios_Para_Comunicar!H11:H14)</f>
        <v>26600</v>
      </c>
      <c r="H4" s="3">
        <f>MIN(Precios_Para_Comunicar!I11:I14)</f>
        <v>25900</v>
      </c>
      <c r="I4" s="3">
        <f>MIN(Precios_Para_Comunicar!J11:J14)</f>
        <v>25100</v>
      </c>
      <c r="J4" s="3">
        <f>MIN(Precios_Para_Comunicar!K11:K14)</f>
        <v>24300</v>
      </c>
      <c r="K4" s="3">
        <f>MIN(Precios_Para_Comunicar!L11:L14)</f>
        <v>23600</v>
      </c>
      <c r="L4" s="4">
        <f>MIN(Precios_Para_Comunicar!M11:M14)</f>
        <v>0.11766917293233083</v>
      </c>
      <c r="M4" s="4">
        <f>MAX(Precios_Para_Comunicar!Q11:Q14)</f>
        <v>0.19491525423728814</v>
      </c>
      <c r="N4" s="2" t="s">
        <v>75</v>
      </c>
      <c r="O4" s="2" t="s">
        <v>76</v>
      </c>
      <c r="P4" s="2" t="s">
        <v>77</v>
      </c>
      <c r="Q4" s="2" t="s">
        <v>78</v>
      </c>
    </row>
    <row r="5" spans="1:17" x14ac:dyDescent="0.2">
      <c r="B5" s="2" t="s">
        <v>29</v>
      </c>
      <c r="C5" s="3">
        <f>MIN(Precios_Para_Comunicar!E15:E16)</f>
        <v>18600</v>
      </c>
      <c r="D5" s="3">
        <f>MAX(Precios_Para_Comunicar!E15:E16)</f>
        <v>22670</v>
      </c>
      <c r="E5" s="3">
        <v>28600</v>
      </c>
      <c r="F5" s="3">
        <v>25700</v>
      </c>
      <c r="G5" s="3">
        <f>MIN(Precios_Para_Comunicar!H15:H16)</f>
        <v>25800</v>
      </c>
      <c r="H5" s="3">
        <f>MIN(Precios_Para_Comunicar!I15:I16)</f>
        <v>25100</v>
      </c>
      <c r="I5" s="3">
        <f>MIN(Precios_Para_Comunicar!J15:J16)</f>
        <v>24400</v>
      </c>
      <c r="J5" s="3">
        <f>MIN(Precios_Para_Comunicar!K15:K16)</f>
        <v>23800</v>
      </c>
      <c r="K5" s="3">
        <f>MIN(Precios_Para_Comunicar!L15:L16)</f>
        <v>23600</v>
      </c>
      <c r="L5" s="4">
        <f>MIN(Precios_Para_Comunicar!M15:M16)</f>
        <v>0.12131782945736434</v>
      </c>
      <c r="M5" s="4">
        <f>MAX(Precios_Para_Comunicar!Q15:Q16)</f>
        <v>0.21186440677966101</v>
      </c>
      <c r="N5" s="2" t="s">
        <v>75</v>
      </c>
      <c r="O5" s="2" t="s">
        <v>76</v>
      </c>
      <c r="P5" s="2" t="s">
        <v>77</v>
      </c>
      <c r="Q5" s="2" t="s">
        <v>78</v>
      </c>
    </row>
    <row r="6" spans="1:17" x14ac:dyDescent="0.2">
      <c r="B6" s="2" t="s">
        <v>31</v>
      </c>
      <c r="C6" s="3">
        <f>MIN(Precios_Para_Comunicar!E17:E18)</f>
        <v>18600</v>
      </c>
      <c r="D6" s="3">
        <f>MAX(Precios_Para_Comunicar!E17:E18)</f>
        <v>22670</v>
      </c>
      <c r="E6" s="3">
        <v>28600</v>
      </c>
      <c r="F6" s="3">
        <v>25700</v>
      </c>
      <c r="G6" s="3">
        <f>MIN(Precios_Para_Comunicar!H17:H18)</f>
        <v>25800</v>
      </c>
      <c r="H6" s="3">
        <f>MIN(Precios_Para_Comunicar!I17:I18)</f>
        <v>25100</v>
      </c>
      <c r="I6" s="3">
        <f>MIN(Precios_Para_Comunicar!J17:J18)</f>
        <v>24400</v>
      </c>
      <c r="J6" s="3">
        <f>MIN(Precios_Para_Comunicar!K17:K18)</f>
        <v>23800</v>
      </c>
      <c r="K6" s="3">
        <f>MIN(Precios_Para_Comunicar!L17:L18)</f>
        <v>23600</v>
      </c>
      <c r="L6" s="4">
        <f>MIN(Precios_Para_Comunicar!M17:M18)</f>
        <v>0.12131782945736434</v>
      </c>
      <c r="M6" s="4">
        <f>MAX(Precios_Para_Comunicar!Q17:Q18)</f>
        <v>0.21186440677966101</v>
      </c>
      <c r="N6" s="2" t="s">
        <v>75</v>
      </c>
      <c r="O6" s="2" t="s">
        <v>76</v>
      </c>
      <c r="P6" s="2" t="s">
        <v>77</v>
      </c>
      <c r="Q6" s="2" t="s">
        <v>78</v>
      </c>
    </row>
    <row r="7" spans="1:17" x14ac:dyDescent="0.2">
      <c r="B7" s="2" t="s">
        <v>34</v>
      </c>
      <c r="C7" s="3">
        <f>MIN(Precios_Para_Comunicar!E19:E22)</f>
        <v>18100</v>
      </c>
      <c r="D7" s="3">
        <f>MAX(Precios_Para_Comunicar!E19:E22)</f>
        <v>18100</v>
      </c>
      <c r="E7" s="3">
        <v>23500</v>
      </c>
      <c r="F7" s="3">
        <v>19300</v>
      </c>
      <c r="G7" s="3">
        <f>MIN(Precios_Para_Comunicar!H19:H22)</f>
        <v>20800</v>
      </c>
      <c r="H7" s="3">
        <f>MIN(Precios_Para_Comunicar!I19:I22)</f>
        <v>20300</v>
      </c>
      <c r="I7" s="3">
        <f>MIN(Precios_Para_Comunicar!J19:J22)</f>
        <v>19800</v>
      </c>
      <c r="J7" s="3">
        <f>MIN(Precios_Para_Comunicar!K19:K22)</f>
        <v>19300</v>
      </c>
      <c r="K7" s="3">
        <f>MIN(Precios_Para_Comunicar!L19:L22)</f>
        <v>18900</v>
      </c>
      <c r="L7" s="4">
        <f>MIN(Precios_Para_Comunicar!M19:M22)</f>
        <v>0.12980769230769232</v>
      </c>
      <c r="M7" s="4">
        <f>MAX(Precios_Para_Comunicar!Q19:Q22)</f>
        <v>4.2328042328042326E-2</v>
      </c>
      <c r="N7" s="2" t="s">
        <v>75</v>
      </c>
      <c r="O7" s="2" t="s">
        <v>76</v>
      </c>
      <c r="P7" s="2" t="s">
        <v>77</v>
      </c>
      <c r="Q7" s="2" t="s">
        <v>78</v>
      </c>
    </row>
    <row r="8" spans="1:17" x14ac:dyDescent="0.2">
      <c r="B8" s="2" t="s">
        <v>38</v>
      </c>
      <c r="C8" s="3">
        <f>MIN(Precios_Para_Comunicar!E23:E25)</f>
        <v>18100</v>
      </c>
      <c r="D8" s="3">
        <f>MAX(Precios_Para_Comunicar!E23:E25)</f>
        <v>18100</v>
      </c>
      <c r="E8" s="3">
        <v>21800</v>
      </c>
      <c r="F8" s="3">
        <v>17400</v>
      </c>
      <c r="G8" s="3">
        <f>MIN(Precios_Para_Comunicar!H23:H25)</f>
        <v>20800</v>
      </c>
      <c r="H8" s="3">
        <f>MIN(Precios_Para_Comunicar!I23:I25)</f>
        <v>20700</v>
      </c>
      <c r="I8" s="3">
        <f>MIN(Precios_Para_Comunicar!J23:J25)</f>
        <v>20500</v>
      </c>
      <c r="J8" s="3">
        <f>MIN(Precios_Para_Comunicar!K23:K25)</f>
        <v>20300</v>
      </c>
      <c r="K8" s="3">
        <f>MIN(Precios_Para_Comunicar!L23:L25)</f>
        <v>20100</v>
      </c>
      <c r="L8" s="4">
        <f>MIN(Precios_Para_Comunicar!M23:M25)</f>
        <v>0.12980769230769232</v>
      </c>
      <c r="M8" s="4">
        <f>MAX(Precios_Para_Comunicar!Q23:Q25)</f>
        <v>9.950248756218906E-2</v>
      </c>
      <c r="N8" s="2" t="s">
        <v>75</v>
      </c>
      <c r="O8" s="2" t="s">
        <v>76</v>
      </c>
      <c r="P8" s="2" t="s">
        <v>77</v>
      </c>
      <c r="Q8" s="2" t="s">
        <v>78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3DBD-7BB9-B248-A0D2-8F01E46CE77D}">
  <dimension ref="A1:Y59"/>
  <sheetViews>
    <sheetView topLeftCell="I18" workbookViewId="0">
      <selection activeCell="O40" sqref="O40"/>
    </sheetView>
  </sheetViews>
  <sheetFormatPr baseColWidth="10" defaultRowHeight="15" x14ac:dyDescent="0.2"/>
  <cols>
    <col min="1" max="1" width="25" customWidth="1"/>
    <col min="2" max="2" width="13.33203125" customWidth="1"/>
    <col min="3" max="3" width="15.83203125" customWidth="1"/>
    <col min="4" max="9" width="13.33203125" customWidth="1"/>
    <col min="10" max="10" width="3.33203125" customWidth="1"/>
    <col min="11" max="11" width="25" customWidth="1"/>
    <col min="12" max="16" width="13.33203125" customWidth="1"/>
    <col min="18" max="18" width="33.33203125" customWidth="1"/>
    <col min="19" max="19" width="3.33203125" customWidth="1"/>
    <col min="20" max="20" width="25" customWidth="1"/>
    <col min="21" max="25" width="15" customWidth="1"/>
  </cols>
  <sheetData>
    <row r="1" spans="1:25" ht="19" x14ac:dyDescent="0.25">
      <c r="A1" s="52" t="s">
        <v>459</v>
      </c>
      <c r="B1" s="52"/>
      <c r="C1" s="52"/>
      <c r="D1" s="52"/>
      <c r="E1" s="52"/>
      <c r="F1" s="52"/>
      <c r="G1" s="52"/>
      <c r="H1" s="52"/>
      <c r="I1" s="52"/>
      <c r="J1" s="52"/>
      <c r="K1" s="52"/>
      <c r="L1" s="52"/>
      <c r="M1" s="52"/>
      <c r="N1" s="52"/>
      <c r="O1" s="52"/>
      <c r="P1" s="52"/>
      <c r="Q1" s="52"/>
      <c r="R1" s="52"/>
    </row>
    <row r="2" spans="1:25" x14ac:dyDescent="0.2">
      <c r="A2" s="53" t="s">
        <v>460</v>
      </c>
      <c r="B2" s="53"/>
      <c r="C2" s="53"/>
      <c r="D2" s="53"/>
      <c r="E2" s="53"/>
      <c r="F2" s="53"/>
      <c r="G2" s="53"/>
      <c r="H2" s="53"/>
      <c r="I2" s="53"/>
      <c r="J2" s="53"/>
      <c r="K2" s="53"/>
      <c r="L2" s="53"/>
      <c r="M2" s="53"/>
      <c r="N2" s="53"/>
      <c r="O2" s="53"/>
      <c r="P2" s="53"/>
      <c r="Q2" s="53"/>
      <c r="R2" s="53"/>
    </row>
    <row r="4" spans="1:25" x14ac:dyDescent="0.2">
      <c r="A4" s="42" t="s">
        <v>461</v>
      </c>
    </row>
    <row r="5" spans="1:25" x14ac:dyDescent="0.2">
      <c r="A5" s="45" t="s">
        <v>462</v>
      </c>
      <c r="B5" s="45" t="s">
        <v>463</v>
      </c>
      <c r="C5" s="45" t="s">
        <v>464</v>
      </c>
    </row>
    <row r="6" spans="1:25" x14ac:dyDescent="0.2">
      <c r="A6" t="s">
        <v>5</v>
      </c>
      <c r="B6" s="44" t="s">
        <v>465</v>
      </c>
      <c r="C6" t="s">
        <v>466</v>
      </c>
    </row>
    <row r="7" spans="1:25" x14ac:dyDescent="0.2">
      <c r="A7" t="s">
        <v>7</v>
      </c>
      <c r="B7" s="43">
        <v>0.3</v>
      </c>
      <c r="C7" t="s">
        <v>467</v>
      </c>
    </row>
    <row r="8" spans="1:25" x14ac:dyDescent="0.2">
      <c r="A8" t="s">
        <v>8</v>
      </c>
      <c r="B8" s="43">
        <v>0.26</v>
      </c>
      <c r="C8" t="s">
        <v>468</v>
      </c>
    </row>
    <row r="9" spans="1:25" x14ac:dyDescent="0.2">
      <c r="A9" t="s">
        <v>9</v>
      </c>
      <c r="B9" s="43">
        <v>0.22</v>
      </c>
      <c r="C9" t="s">
        <v>469</v>
      </c>
    </row>
    <row r="10" spans="1:25" x14ac:dyDescent="0.2">
      <c r="A10" t="s">
        <v>10</v>
      </c>
      <c r="B10" s="43">
        <v>0.18</v>
      </c>
      <c r="C10" t="s">
        <v>470</v>
      </c>
    </row>
    <row r="11" spans="1:25" x14ac:dyDescent="0.2">
      <c r="A11" t="s">
        <v>11</v>
      </c>
      <c r="B11" s="43">
        <v>0.14000000000000001</v>
      </c>
      <c r="C11" t="s">
        <v>471</v>
      </c>
    </row>
    <row r="13" spans="1:25" x14ac:dyDescent="0.2">
      <c r="A13" s="42" t="s">
        <v>472</v>
      </c>
      <c r="K13" s="42" t="s">
        <v>480</v>
      </c>
      <c r="T13" s="54" t="s">
        <v>492</v>
      </c>
      <c r="U13" s="54"/>
      <c r="V13" s="54"/>
      <c r="W13" s="54"/>
      <c r="X13" s="54"/>
      <c r="Y13" s="54"/>
    </row>
    <row r="14" spans="1:25" x14ac:dyDescent="0.2">
      <c r="A14" s="45" t="s">
        <v>1</v>
      </c>
      <c r="B14" s="45" t="s">
        <v>473</v>
      </c>
      <c r="C14" s="45" t="s">
        <v>474</v>
      </c>
      <c r="D14" s="45" t="s">
        <v>475</v>
      </c>
      <c r="E14" s="45" t="s">
        <v>476</v>
      </c>
      <c r="F14" s="45" t="s">
        <v>477</v>
      </c>
      <c r="G14" s="45"/>
      <c r="H14" s="45" t="s">
        <v>478</v>
      </c>
      <c r="I14" s="45" t="s">
        <v>479</v>
      </c>
      <c r="K14" s="45" t="s">
        <v>1</v>
      </c>
      <c r="L14" s="45" t="s">
        <v>481</v>
      </c>
      <c r="M14" s="45" t="s">
        <v>482</v>
      </c>
      <c r="N14" s="45" t="s">
        <v>483</v>
      </c>
      <c r="O14" s="45" t="s">
        <v>484</v>
      </c>
      <c r="P14" s="45" t="s">
        <v>485</v>
      </c>
      <c r="Q14" s="45"/>
      <c r="R14" s="45" t="s">
        <v>142</v>
      </c>
      <c r="T14" s="45" t="s">
        <v>1</v>
      </c>
      <c r="U14" s="45" t="s">
        <v>493</v>
      </c>
      <c r="V14" s="45" t="s">
        <v>494</v>
      </c>
      <c r="W14" s="45" t="s">
        <v>495</v>
      </c>
      <c r="X14" s="45" t="s">
        <v>496</v>
      </c>
      <c r="Y14" s="45" t="s">
        <v>497</v>
      </c>
    </row>
    <row r="15" spans="1:25" x14ac:dyDescent="0.2">
      <c r="A15" t="str">
        <f>Resumen_por_Producto!B2</f>
        <v>Buzo Cuello Redondo</v>
      </c>
      <c r="B15" s="38">
        <f>Resumen_por_Producto!D2</f>
        <v>28170</v>
      </c>
      <c r="C15" s="38">
        <f>Resumen_por_Producto!E2</f>
        <v>43000</v>
      </c>
      <c r="D15" s="39">
        <f>(C15-B15)/C15</f>
        <v>0.34488372093023256</v>
      </c>
      <c r="E15" s="47">
        <f>ROUND(B15/(1-I15),-2)</f>
        <v>46300</v>
      </c>
      <c r="F15" s="39">
        <f>E15/C15-1</f>
        <v>7.6744186046511675E-2</v>
      </c>
      <c r="H15" s="46">
        <v>26170</v>
      </c>
      <c r="I15" s="39">
        <f>(C15-H15)/C15</f>
        <v>0.39139534883720928</v>
      </c>
      <c r="K15" t="str">
        <f>A15</f>
        <v>Buzo Cuello Redondo</v>
      </c>
      <c r="L15" s="47">
        <f>ROUND($B15/(1-$B$7),-2)</f>
        <v>40200</v>
      </c>
      <c r="M15" s="47">
        <f>ROUND($B15/(1-$B$8),-2)</f>
        <v>38100</v>
      </c>
      <c r="N15" s="47">
        <f>ROUND($B15/(1-$B$9),-2)</f>
        <v>36100</v>
      </c>
      <c r="O15" s="47">
        <f>ROUND($B15/(1-$B$10),-2)</f>
        <v>34400</v>
      </c>
      <c r="P15" s="47">
        <f>ROUND($B15/(1-$B$11),-2)</f>
        <v>32800</v>
      </c>
      <c r="R15" t="str">
        <f t="shared" ref="R15:R21" si="0">IF(F15&gt;0.25,"Suba B2C fuerte: evaluar escalonar",IF(F15&gt;0.12,"Suba B2C moderada","Suba B2C leve, OK"))</f>
        <v>Suba B2C leve, OK</v>
      </c>
      <c r="T15" t="str">
        <f t="shared" ref="T15:T21" si="1">A15</f>
        <v>Buzo Cuello Redondo</v>
      </c>
      <c r="U15" s="49">
        <f>(Resumen_por_Producto!G2-Resumen_por_Producto!$D2)/Resumen_por_Producto!G2</f>
        <v>0.12515527950310559</v>
      </c>
      <c r="V15" s="49">
        <f>(Resumen_por_Producto!H2-Resumen_por_Producto!$D2)/Resumen_por_Producto!H2</f>
        <v>9.7115384615384617E-2</v>
      </c>
      <c r="W15" s="49">
        <f>(Resumen_por_Producto!I2-Resumen_por_Producto!$D2)/Resumen_por_Producto!I2</f>
        <v>6.7218543046357618E-2</v>
      </c>
      <c r="X15" s="49">
        <f>(Resumen_por_Producto!J2-Resumen_por_Producto!$D2)/Resumen_por_Producto!J2</f>
        <v>3.5273972602739727E-2</v>
      </c>
      <c r="Y15" s="49">
        <f>(Resumen_por_Producto!K2-Resumen_por_Producto!$D2)/Resumen_por_Producto!K2</f>
        <v>1.0638297872340426E-3</v>
      </c>
    </row>
    <row r="16" spans="1:25" x14ac:dyDescent="0.2">
      <c r="A16" t="str">
        <f>Resumen_por_Producto!B3</f>
        <v>Buzo Hoodie Unisex</v>
      </c>
      <c r="B16" s="38">
        <f>Resumen_por_Producto!D3</f>
        <v>30170</v>
      </c>
      <c r="C16" s="38">
        <f>Resumen_por_Producto!E3</f>
        <v>55000</v>
      </c>
      <c r="D16" s="39">
        <f t="shared" ref="D16:D21" si="2">(C16-B16)/C16</f>
        <v>0.45145454545454544</v>
      </c>
      <c r="E16" s="47">
        <f t="shared" ref="E16:E21" si="3">ROUND(B16/(1-I16),-2)</f>
        <v>58900</v>
      </c>
      <c r="F16" s="39">
        <f t="shared" ref="F16:F21" si="4">E16/C16-1</f>
        <v>7.0909090909090811E-2</v>
      </c>
      <c r="H16" s="46">
        <v>28170</v>
      </c>
      <c r="I16" s="39">
        <f t="shared" ref="I16:I21" si="5">(C16-H16)/C16</f>
        <v>0.48781818181818182</v>
      </c>
      <c r="K16" t="str">
        <f>A16</f>
        <v>Buzo Hoodie Unisex</v>
      </c>
      <c r="L16" s="47">
        <f>ROUND($B16/(1-$B$7),-2)</f>
        <v>43100</v>
      </c>
      <c r="M16" s="47">
        <f>ROUND($B16/(1-$B$8),-2)</f>
        <v>40800</v>
      </c>
      <c r="N16" s="47">
        <f>ROUND($B16/(1-$B$9),-2)</f>
        <v>38700</v>
      </c>
      <c r="O16" s="47">
        <f>ROUND($B16/(1-$B$10),-2)</f>
        <v>36800</v>
      </c>
      <c r="P16" s="47">
        <f>ROUND($B16/(1-$B$11),-2)</f>
        <v>35100</v>
      </c>
      <c r="R16" t="str">
        <f t="shared" si="0"/>
        <v>Suba B2C leve, OK</v>
      </c>
      <c r="T16" t="str">
        <f t="shared" si="1"/>
        <v>Buzo Hoodie Unisex</v>
      </c>
      <c r="U16" s="49">
        <f>(Resumen_por_Producto!G3-Resumen_por_Producto!$D3)/Resumen_por_Producto!G3</f>
        <v>0.22041343669250646</v>
      </c>
      <c r="V16" s="49">
        <f>(Resumen_por_Producto!H3-Resumen_por_Producto!$D3)/Resumen_por_Producto!H3</f>
        <v>0.17568306010928961</v>
      </c>
      <c r="W16" s="49">
        <f>(Resumen_por_Producto!I3-Resumen_por_Producto!$D3)/Resumen_por_Producto!I3</f>
        <v>0.1255072463768116</v>
      </c>
      <c r="X16" s="49">
        <f>(Resumen_por_Producto!J3-Resumen_por_Producto!$D3)/Resumen_por_Producto!J3</f>
        <v>6.8827160493827158E-2</v>
      </c>
      <c r="Y16" s="49">
        <f>(Resumen_por_Producto!K3-Resumen_por_Producto!$D3)/Resumen_por_Producto!K3</f>
        <v>4.2904290429042905E-3</v>
      </c>
    </row>
    <row r="17" spans="1:25" x14ac:dyDescent="0.2">
      <c r="A17" t="str">
        <f>Resumen_por_Producto!B4</f>
        <v>Aura Oversize T-Shirt</v>
      </c>
      <c r="B17" s="38">
        <f>Resumen_por_Producto!D4</f>
        <v>23470</v>
      </c>
      <c r="C17" s="38">
        <f>Resumen_por_Producto!E4</f>
        <v>31000</v>
      </c>
      <c r="D17" s="39">
        <f t="shared" si="2"/>
        <v>0.2429032258064516</v>
      </c>
      <c r="E17" s="47">
        <f t="shared" si="3"/>
        <v>35500</v>
      </c>
      <c r="F17" s="39">
        <f t="shared" si="4"/>
        <v>0.14516129032258074</v>
      </c>
      <c r="H17" s="46">
        <v>20496</v>
      </c>
      <c r="I17" s="39">
        <f t="shared" si="5"/>
        <v>0.33883870967741936</v>
      </c>
      <c r="K17" t="str">
        <f t="shared" ref="K17:K21" si="6">A17</f>
        <v>Aura Oversize T-Shirt</v>
      </c>
      <c r="L17" s="47">
        <f t="shared" ref="L17:L21" si="7">ROUND($B17/(1-$B$7),-2)</f>
        <v>33500</v>
      </c>
      <c r="M17" s="47">
        <f t="shared" ref="M17:M21" si="8">ROUND($B17/(1-$B$8),-2)</f>
        <v>31700</v>
      </c>
      <c r="N17" s="47">
        <f t="shared" ref="N17:N21" si="9">ROUND($B17/(1-$B$9),-2)</f>
        <v>30100</v>
      </c>
      <c r="O17" s="47">
        <f t="shared" ref="O17:O21" si="10">ROUND($B17/(1-$B$10),-2)</f>
        <v>28600</v>
      </c>
      <c r="P17" s="47">
        <f t="shared" ref="P17:P21" si="11">ROUND($B17/(1-$B$11),-2)</f>
        <v>27300</v>
      </c>
      <c r="R17" t="str">
        <f t="shared" si="0"/>
        <v>Suba B2C moderada</v>
      </c>
      <c r="T17" t="str">
        <f t="shared" si="1"/>
        <v>Aura Oversize T-Shirt</v>
      </c>
      <c r="U17" s="49">
        <f>(Resumen_por_Producto!G4-Resumen_por_Producto!$D4)/Resumen_por_Producto!G4</f>
        <v>0.11766917293233083</v>
      </c>
      <c r="V17" s="49">
        <f>(Resumen_por_Producto!H4-Resumen_por_Producto!$D4)/Resumen_por_Producto!H4</f>
        <v>9.3822393822393824E-2</v>
      </c>
      <c r="W17" s="49">
        <f>(Resumen_por_Producto!I4-Resumen_por_Producto!$D4)/Resumen_por_Producto!I4</f>
        <v>6.4940239043824705E-2</v>
      </c>
      <c r="X17" s="50">
        <f>(Resumen_por_Producto!J4-Resumen_por_Producto!$D4)/Resumen_por_Producto!J4</f>
        <v>3.4156378600823045E-2</v>
      </c>
      <c r="Y17" s="50">
        <f>(Resumen_por_Producto!K4-Resumen_por_Producto!$D4)/Resumen_por_Producto!K4</f>
        <v>5.5084745762711863E-3</v>
      </c>
    </row>
    <row r="18" spans="1:25" x14ac:dyDescent="0.2">
      <c r="A18" t="str">
        <f>Resumen_por_Producto!B5</f>
        <v>Aldea Classic Fit T-Shirt</v>
      </c>
      <c r="B18" s="38">
        <f>Resumen_por_Producto!D5</f>
        <v>22670</v>
      </c>
      <c r="C18" s="38">
        <f>Resumen_por_Producto!E5</f>
        <v>28600</v>
      </c>
      <c r="D18" s="39">
        <f t="shared" si="2"/>
        <v>0.20734265734265733</v>
      </c>
      <c r="E18" s="47">
        <f t="shared" si="3"/>
        <v>32900</v>
      </c>
      <c r="F18" s="39">
        <f t="shared" si="4"/>
        <v>0.15034965034965042</v>
      </c>
      <c r="H18" s="46">
        <v>19696</v>
      </c>
      <c r="I18" s="39">
        <f t="shared" si="5"/>
        <v>0.31132867132867131</v>
      </c>
      <c r="K18" t="str">
        <f t="shared" si="6"/>
        <v>Aldea Classic Fit T-Shirt</v>
      </c>
      <c r="L18" s="47">
        <f t="shared" si="7"/>
        <v>32400</v>
      </c>
      <c r="M18" s="47">
        <f t="shared" si="8"/>
        <v>30600</v>
      </c>
      <c r="N18" s="47">
        <f t="shared" si="9"/>
        <v>29100</v>
      </c>
      <c r="O18" s="47">
        <f t="shared" si="10"/>
        <v>27600</v>
      </c>
      <c r="P18" s="47">
        <f t="shared" si="11"/>
        <v>26400</v>
      </c>
      <c r="R18" t="str">
        <f t="shared" si="0"/>
        <v>Suba B2C moderada</v>
      </c>
      <c r="T18" t="str">
        <f t="shared" si="1"/>
        <v>Aldea Classic Fit T-Shirt</v>
      </c>
      <c r="U18" s="49">
        <f>(Resumen_por_Producto!G5-Resumen_por_Producto!$D5)/Resumen_por_Producto!G5</f>
        <v>0.12131782945736434</v>
      </c>
      <c r="V18" s="49">
        <f>(Resumen_por_Producto!H5-Resumen_por_Producto!$D5)/Resumen_por_Producto!H5</f>
        <v>9.6812749003984067E-2</v>
      </c>
      <c r="W18" s="49">
        <f>(Resumen_por_Producto!I5-Resumen_por_Producto!$D5)/Resumen_por_Producto!I5</f>
        <v>7.0901639344262302E-2</v>
      </c>
      <c r="X18" s="49">
        <f>(Resumen_por_Producto!J5-Resumen_por_Producto!$D5)/Resumen_por_Producto!J5</f>
        <v>4.7478991596638653E-2</v>
      </c>
      <c r="Y18" s="50">
        <f>(Resumen_por_Producto!K5-Resumen_por_Producto!$D5)/Resumen_por_Producto!K5</f>
        <v>3.9406779661016952E-2</v>
      </c>
    </row>
    <row r="19" spans="1:25" x14ac:dyDescent="0.2">
      <c r="A19" t="str">
        <f>Resumen_por_Producto!B6</f>
        <v>Remera Clásica Mujer</v>
      </c>
      <c r="B19" s="38">
        <f>Resumen_por_Producto!D6</f>
        <v>22670</v>
      </c>
      <c r="C19" s="38">
        <f>Resumen_por_Producto!E6</f>
        <v>28600</v>
      </c>
      <c r="D19" s="39">
        <f t="shared" si="2"/>
        <v>0.20734265734265733</v>
      </c>
      <c r="E19" s="47">
        <f t="shared" si="3"/>
        <v>32900</v>
      </c>
      <c r="F19" s="39">
        <f t="shared" si="4"/>
        <v>0.15034965034965042</v>
      </c>
      <c r="H19" s="46">
        <v>19696</v>
      </c>
      <c r="I19" s="39">
        <f t="shared" si="5"/>
        <v>0.31132867132867131</v>
      </c>
      <c r="K19" t="str">
        <f t="shared" si="6"/>
        <v>Remera Clásica Mujer</v>
      </c>
      <c r="L19" s="47">
        <f t="shared" si="7"/>
        <v>32400</v>
      </c>
      <c r="M19" s="47">
        <f t="shared" si="8"/>
        <v>30600</v>
      </c>
      <c r="N19" s="47">
        <f t="shared" si="9"/>
        <v>29100</v>
      </c>
      <c r="O19" s="47">
        <f t="shared" si="10"/>
        <v>27600</v>
      </c>
      <c r="P19" s="47">
        <f t="shared" si="11"/>
        <v>26400</v>
      </c>
      <c r="R19" t="str">
        <f t="shared" si="0"/>
        <v>Suba B2C moderada</v>
      </c>
      <c r="T19" t="str">
        <f t="shared" si="1"/>
        <v>Remera Clásica Mujer</v>
      </c>
      <c r="U19" s="49">
        <f>(Resumen_por_Producto!G6-Resumen_por_Producto!$D6)/Resumen_por_Producto!G6</f>
        <v>0.12131782945736434</v>
      </c>
      <c r="V19" s="49">
        <f>(Resumen_por_Producto!H6-Resumen_por_Producto!$D6)/Resumen_por_Producto!H6</f>
        <v>9.6812749003984067E-2</v>
      </c>
      <c r="W19" s="49">
        <f>(Resumen_por_Producto!I6-Resumen_por_Producto!$D6)/Resumen_por_Producto!I6</f>
        <v>7.0901639344262302E-2</v>
      </c>
      <c r="X19" s="49">
        <f>(Resumen_por_Producto!J6-Resumen_por_Producto!$D6)/Resumen_por_Producto!J6</f>
        <v>4.7478991596638653E-2</v>
      </c>
      <c r="Y19" s="50">
        <f>(Resumen_por_Producto!K6-Resumen_por_Producto!$D6)/Resumen_por_Producto!K6</f>
        <v>3.9406779661016952E-2</v>
      </c>
    </row>
    <row r="20" spans="1:25" x14ac:dyDescent="0.2">
      <c r="A20" t="str">
        <f>Resumen_por_Producto!B7</f>
        <v>Remera Crop Mujer</v>
      </c>
      <c r="B20" s="38">
        <f>Resumen_por_Producto!D7</f>
        <v>18100</v>
      </c>
      <c r="C20" s="38">
        <f>Resumen_por_Producto!E7</f>
        <v>23500</v>
      </c>
      <c r="D20" s="39">
        <f t="shared" si="2"/>
        <v>0.22978723404255319</v>
      </c>
      <c r="E20" s="47">
        <f t="shared" si="3"/>
        <v>28100</v>
      </c>
      <c r="F20" s="39">
        <f t="shared" si="4"/>
        <v>0.19574468085106389</v>
      </c>
      <c r="H20" s="46">
        <v>15156</v>
      </c>
      <c r="I20" s="39">
        <f t="shared" si="5"/>
        <v>0.35506382978723405</v>
      </c>
      <c r="K20" t="str">
        <f t="shared" si="6"/>
        <v>Remera Crop Mujer</v>
      </c>
      <c r="L20" s="47">
        <f t="shared" si="7"/>
        <v>25900</v>
      </c>
      <c r="M20" s="47">
        <f t="shared" si="8"/>
        <v>24500</v>
      </c>
      <c r="N20" s="47">
        <f t="shared" si="9"/>
        <v>23200</v>
      </c>
      <c r="O20" s="47">
        <f t="shared" si="10"/>
        <v>22100</v>
      </c>
      <c r="P20" s="47">
        <f t="shared" si="11"/>
        <v>21000</v>
      </c>
      <c r="R20" t="str">
        <f t="shared" si="0"/>
        <v>Suba B2C moderada</v>
      </c>
      <c r="T20" t="str">
        <f t="shared" si="1"/>
        <v>Remera Crop Mujer</v>
      </c>
      <c r="U20" s="49">
        <f>(Resumen_por_Producto!G7-Resumen_por_Producto!$D7)/Resumen_por_Producto!G7</f>
        <v>0.12980769230769232</v>
      </c>
      <c r="V20" s="49">
        <f>(Resumen_por_Producto!H7-Resumen_por_Producto!$D7)/Resumen_por_Producto!H7</f>
        <v>0.10837438423645321</v>
      </c>
      <c r="W20" s="49">
        <f>(Resumen_por_Producto!I7-Resumen_por_Producto!$D7)/Resumen_por_Producto!I7</f>
        <v>8.5858585858585856E-2</v>
      </c>
      <c r="X20" s="49">
        <f>(Resumen_por_Producto!J7-Resumen_por_Producto!$D7)/Resumen_por_Producto!J7</f>
        <v>6.2176165803108807E-2</v>
      </c>
      <c r="Y20" s="49">
        <f>(Resumen_por_Producto!K7-Resumen_por_Producto!$D7)/Resumen_por_Producto!K7</f>
        <v>4.2328042328042326E-2</v>
      </c>
    </row>
    <row r="21" spans="1:25" x14ac:dyDescent="0.2">
      <c r="A21" t="str">
        <f>Resumen_por_Producto!B8</f>
        <v>Musculosa Bali</v>
      </c>
      <c r="B21" s="38">
        <f>Resumen_por_Producto!D8</f>
        <v>18100</v>
      </c>
      <c r="C21" s="38">
        <f>Resumen_por_Producto!E8</f>
        <v>21800</v>
      </c>
      <c r="D21" s="39">
        <f t="shared" si="2"/>
        <v>0.16972477064220184</v>
      </c>
      <c r="E21" s="47">
        <f t="shared" si="3"/>
        <v>30100</v>
      </c>
      <c r="F21" s="39">
        <f t="shared" si="4"/>
        <v>0.38073394495412849</v>
      </c>
      <c r="H21" s="46">
        <v>13096</v>
      </c>
      <c r="I21" s="39">
        <f t="shared" si="5"/>
        <v>0.39926605504587154</v>
      </c>
      <c r="K21" t="str">
        <f t="shared" si="6"/>
        <v>Musculosa Bali</v>
      </c>
      <c r="L21" s="47">
        <f t="shared" si="7"/>
        <v>25900</v>
      </c>
      <c r="M21" s="47">
        <f t="shared" si="8"/>
        <v>24500</v>
      </c>
      <c r="N21" s="47">
        <f t="shared" si="9"/>
        <v>23200</v>
      </c>
      <c r="O21" s="47">
        <f t="shared" si="10"/>
        <v>22100</v>
      </c>
      <c r="P21" s="47">
        <f t="shared" si="11"/>
        <v>21000</v>
      </c>
      <c r="R21" t="str">
        <f t="shared" si="0"/>
        <v>Suba B2C fuerte: evaluar escalonar</v>
      </c>
      <c r="T21" t="str">
        <f t="shared" si="1"/>
        <v>Musculosa Bali</v>
      </c>
      <c r="U21" s="49">
        <f>(Resumen_por_Producto!G8-Resumen_por_Producto!$D8)/Resumen_por_Producto!G8</f>
        <v>0.12980769230769232</v>
      </c>
      <c r="V21" s="49">
        <f>(Resumen_por_Producto!H8-Resumen_por_Producto!$D8)/Resumen_por_Producto!H8</f>
        <v>0.12560386473429952</v>
      </c>
      <c r="W21" s="49">
        <f>(Resumen_por_Producto!I8-Resumen_por_Producto!$D8)/Resumen_por_Producto!I8</f>
        <v>0.11707317073170732</v>
      </c>
      <c r="X21" s="49">
        <f>(Resumen_por_Producto!J8-Resumen_por_Producto!$D8)/Resumen_por_Producto!J8</f>
        <v>0.10837438423645321</v>
      </c>
      <c r="Y21" s="49">
        <f>(Resumen_por_Producto!K8-Resumen_por_Producto!$D8)/Resumen_por_Producto!K8</f>
        <v>9.950248756218906E-2</v>
      </c>
    </row>
    <row r="23" spans="1:25" x14ac:dyDescent="0.2">
      <c r="T23" s="54" t="s">
        <v>498</v>
      </c>
      <c r="U23" s="54"/>
      <c r="V23" s="54"/>
      <c r="W23" s="54"/>
      <c r="X23" s="54"/>
      <c r="Y23" s="54"/>
    </row>
    <row r="24" spans="1:25" x14ac:dyDescent="0.2">
      <c r="A24" s="48" t="s">
        <v>486</v>
      </c>
      <c r="T24" s="45" t="s">
        <v>1</v>
      </c>
      <c r="U24" s="45" t="s">
        <v>493</v>
      </c>
      <c r="V24" s="45" t="s">
        <v>494</v>
      </c>
      <c r="W24" s="45" t="s">
        <v>495</v>
      </c>
      <c r="X24" s="45" t="s">
        <v>496</v>
      </c>
      <c r="Y24" s="45" t="s">
        <v>497</v>
      </c>
    </row>
    <row r="25" spans="1:25" x14ac:dyDescent="0.2">
      <c r="A25" t="s">
        <v>487</v>
      </c>
      <c r="T25" t="str">
        <f t="shared" ref="T25:T31" si="12">A15</f>
        <v>Buzo Cuello Redondo</v>
      </c>
      <c r="U25" s="49">
        <f>(Resumen_por_Producto!G2-Resumen_por_Producto!$C2)/Resumen_por_Producto!G2</f>
        <v>0.25155279503105588</v>
      </c>
      <c r="V25" s="49">
        <f>(Resumen_por_Producto!H2-Resumen_por_Producto!$C2)/Resumen_por_Producto!H2</f>
        <v>0.22756410256410256</v>
      </c>
      <c r="W25" s="49">
        <f>(Resumen_por_Producto!I2-Resumen_por_Producto!$C2)/Resumen_por_Producto!I2</f>
        <v>0.20198675496688742</v>
      </c>
      <c r="X25" s="49">
        <f>(Resumen_por_Producto!J2-Resumen_por_Producto!$C2)/Resumen_por_Producto!J2</f>
        <v>0.17465753424657535</v>
      </c>
      <c r="Y25" s="51">
        <f>(Resumen_por_Producto!K2-Resumen_por_Producto!$C2)/Resumen_por_Producto!K2</f>
        <v>0.1453900709219858</v>
      </c>
    </row>
    <row r="26" spans="1:25" x14ac:dyDescent="0.2">
      <c r="A26" t="s">
        <v>488</v>
      </c>
      <c r="T26" t="str">
        <f t="shared" si="12"/>
        <v>Buzo Hoodie Unisex</v>
      </c>
      <c r="U26" s="51">
        <f>(Resumen_por_Producto!G3-Resumen_por_Producto!$C3)/Resumen_por_Producto!G3</f>
        <v>0.35142118863049093</v>
      </c>
      <c r="V26" s="51">
        <f>(Resumen_por_Producto!H3-Resumen_por_Producto!$C3)/Resumen_por_Producto!H3</f>
        <v>0.31420765027322406</v>
      </c>
      <c r="W26" s="51">
        <f>(Resumen_por_Producto!I3-Resumen_por_Producto!$C3)/Resumen_por_Producto!I3</f>
        <v>0.27246376811594203</v>
      </c>
      <c r="X26" s="51">
        <f>(Resumen_por_Producto!J3-Resumen_por_Producto!$C3)/Resumen_por_Producto!J3</f>
        <v>0.22530864197530864</v>
      </c>
      <c r="Y26" s="51">
        <f>(Resumen_por_Producto!K3-Resumen_por_Producto!$C3)/Resumen_por_Producto!K3</f>
        <v>0.17161716171617161</v>
      </c>
    </row>
    <row r="27" spans="1:25" x14ac:dyDescent="0.2">
      <c r="A27" t="s">
        <v>489</v>
      </c>
      <c r="T27" t="str">
        <f t="shared" si="12"/>
        <v>Aura Oversize T-Shirt</v>
      </c>
      <c r="U27" s="49">
        <f>(Resumen_por_Producto!G4-Resumen_por_Producto!$C4)/Resumen_por_Producto!G4</f>
        <v>0.2857142857142857</v>
      </c>
      <c r="V27" s="49">
        <f>(Resumen_por_Producto!H4-Resumen_por_Producto!$C4)/Resumen_por_Producto!H4</f>
        <v>0.26640926640926643</v>
      </c>
      <c r="W27" s="49">
        <f>(Resumen_por_Producto!I4-Resumen_por_Producto!$C4)/Resumen_por_Producto!I4</f>
        <v>0.24302788844621515</v>
      </c>
      <c r="X27" s="51">
        <f>(Resumen_por_Producto!J4-Resumen_por_Producto!$C4)/Resumen_por_Producto!J4</f>
        <v>0.21810699588477367</v>
      </c>
      <c r="Y27" s="51">
        <f>(Resumen_por_Producto!K4-Resumen_por_Producto!$C4)/Resumen_por_Producto!K4</f>
        <v>0.19491525423728814</v>
      </c>
    </row>
    <row r="28" spans="1:25" x14ac:dyDescent="0.2">
      <c r="A28" t="s">
        <v>490</v>
      </c>
      <c r="T28" t="str">
        <f t="shared" si="12"/>
        <v>Aldea Classic Fit T-Shirt</v>
      </c>
      <c r="U28" s="49">
        <f>(Resumen_por_Producto!G5-Resumen_por_Producto!$C5)/Resumen_por_Producto!G5</f>
        <v>0.27906976744186046</v>
      </c>
      <c r="V28" s="49">
        <f>(Resumen_por_Producto!H5-Resumen_por_Producto!$C5)/Resumen_por_Producto!H5</f>
        <v>0.25896414342629481</v>
      </c>
      <c r="W28" s="49">
        <f>(Resumen_por_Producto!I5-Resumen_por_Producto!$C5)/Resumen_por_Producto!I5</f>
        <v>0.23770491803278687</v>
      </c>
      <c r="X28" s="51">
        <f>(Resumen_por_Producto!J5-Resumen_por_Producto!$C5)/Resumen_por_Producto!J5</f>
        <v>0.21848739495798319</v>
      </c>
      <c r="Y28" s="51">
        <f>(Resumen_por_Producto!K5-Resumen_por_Producto!$C5)/Resumen_por_Producto!K5</f>
        <v>0.21186440677966101</v>
      </c>
    </row>
    <row r="29" spans="1:25" x14ac:dyDescent="0.2">
      <c r="A29" t="s">
        <v>491</v>
      </c>
      <c r="T29" t="str">
        <f t="shared" si="12"/>
        <v>Remera Clásica Mujer</v>
      </c>
      <c r="U29" s="49">
        <f>(Resumen_por_Producto!G6-Resumen_por_Producto!$C6)/Resumen_por_Producto!G6</f>
        <v>0.27906976744186046</v>
      </c>
      <c r="V29" s="49">
        <f>(Resumen_por_Producto!H6-Resumen_por_Producto!$C6)/Resumen_por_Producto!H6</f>
        <v>0.25896414342629481</v>
      </c>
      <c r="W29" s="49">
        <f>(Resumen_por_Producto!I6-Resumen_por_Producto!$C6)/Resumen_por_Producto!I6</f>
        <v>0.23770491803278687</v>
      </c>
      <c r="X29" s="51">
        <f>(Resumen_por_Producto!J6-Resumen_por_Producto!$C6)/Resumen_por_Producto!J6</f>
        <v>0.21848739495798319</v>
      </c>
      <c r="Y29" s="51">
        <f>(Resumen_por_Producto!K6-Resumen_por_Producto!$C6)/Resumen_por_Producto!K6</f>
        <v>0.21186440677966101</v>
      </c>
    </row>
    <row r="30" spans="1:25" x14ac:dyDescent="0.2">
      <c r="T30" t="str">
        <f t="shared" si="12"/>
        <v>Remera Crop Mujer</v>
      </c>
      <c r="U30" s="49">
        <f>(Resumen_por_Producto!G7-Resumen_por_Producto!$C7)/Resumen_por_Producto!G7</f>
        <v>0.12980769230769232</v>
      </c>
      <c r="V30" s="49">
        <f>(Resumen_por_Producto!H7-Resumen_por_Producto!$C7)/Resumen_por_Producto!H7</f>
        <v>0.10837438423645321</v>
      </c>
      <c r="W30" s="49">
        <f>(Resumen_por_Producto!I7-Resumen_por_Producto!$C7)/Resumen_por_Producto!I7</f>
        <v>8.5858585858585856E-2</v>
      </c>
      <c r="X30" s="49">
        <f>(Resumen_por_Producto!J7-Resumen_por_Producto!$C7)/Resumen_por_Producto!J7</f>
        <v>6.2176165803108807E-2</v>
      </c>
      <c r="Y30" s="49">
        <f>(Resumen_por_Producto!K7-Resumen_por_Producto!$C7)/Resumen_por_Producto!K7</f>
        <v>4.2328042328042326E-2</v>
      </c>
    </row>
    <row r="31" spans="1:25" x14ac:dyDescent="0.2">
      <c r="A31" s="48" t="s">
        <v>499</v>
      </c>
      <c r="T31" t="str">
        <f t="shared" si="12"/>
        <v>Musculosa Bali</v>
      </c>
      <c r="U31" s="49">
        <f>(Resumen_por_Producto!G8-Resumen_por_Producto!$C8)/Resumen_por_Producto!G8</f>
        <v>0.12980769230769232</v>
      </c>
      <c r="V31" s="49">
        <f>(Resumen_por_Producto!H8-Resumen_por_Producto!$C8)/Resumen_por_Producto!H8</f>
        <v>0.12560386473429952</v>
      </c>
      <c r="W31" s="49">
        <f>(Resumen_por_Producto!I8-Resumen_por_Producto!$C8)/Resumen_por_Producto!I8</f>
        <v>0.11707317073170732</v>
      </c>
      <c r="X31" s="49">
        <f>(Resumen_por_Producto!J8-Resumen_por_Producto!$C8)/Resumen_por_Producto!J8</f>
        <v>0.10837438423645321</v>
      </c>
      <c r="Y31" s="49">
        <f>(Resumen_por_Producto!K8-Resumen_por_Producto!$C8)/Resumen_por_Producto!K8</f>
        <v>9.950248756218906E-2</v>
      </c>
    </row>
    <row r="32" spans="1:25" x14ac:dyDescent="0.2">
      <c r="A32" t="s">
        <v>500</v>
      </c>
    </row>
    <row r="33" spans="1:9" x14ac:dyDescent="0.2">
      <c r="A33" t="s">
        <v>501</v>
      </c>
    </row>
    <row r="34" spans="1:9" x14ac:dyDescent="0.2">
      <c r="A34" t="s">
        <v>502</v>
      </c>
    </row>
    <row r="35" spans="1:9" x14ac:dyDescent="0.2">
      <c r="A35" t="s">
        <v>503</v>
      </c>
    </row>
    <row r="38" spans="1:9" ht="16" x14ac:dyDescent="0.2">
      <c r="A38" s="55" t="s">
        <v>504</v>
      </c>
      <c r="B38" s="55"/>
      <c r="C38" s="55"/>
      <c r="D38" s="55"/>
      <c r="E38" s="55"/>
      <c r="F38" s="55"/>
      <c r="G38" s="55"/>
      <c r="H38" s="55"/>
      <c r="I38" s="55"/>
    </row>
    <row r="39" spans="1:9" x14ac:dyDescent="0.2">
      <c r="A39" s="53" t="s">
        <v>505</v>
      </c>
      <c r="B39" s="53"/>
      <c r="C39" s="53"/>
      <c r="D39" s="53"/>
      <c r="E39" s="53"/>
      <c r="F39" s="53"/>
      <c r="G39" s="53"/>
      <c r="H39" s="53"/>
      <c r="I39" s="53"/>
    </row>
    <row r="41" spans="1:9" ht="32" x14ac:dyDescent="0.2">
      <c r="A41" s="56" t="s">
        <v>1</v>
      </c>
      <c r="B41" s="56" t="s">
        <v>506</v>
      </c>
      <c r="C41" s="56" t="s">
        <v>507</v>
      </c>
      <c r="D41" s="56" t="s">
        <v>508</v>
      </c>
      <c r="E41" s="56" t="s">
        <v>509</v>
      </c>
      <c r="F41" s="56" t="s">
        <v>510</v>
      </c>
      <c r="G41" s="56" t="s">
        <v>511</v>
      </c>
      <c r="H41" s="56" t="s">
        <v>512</v>
      </c>
      <c r="I41" s="56" t="s">
        <v>513</v>
      </c>
    </row>
    <row r="42" spans="1:9" x14ac:dyDescent="0.2">
      <c r="A42" t="str">
        <f>A15</f>
        <v>Buzo Cuello Redondo</v>
      </c>
      <c r="B42" s="38">
        <f>Resumen_por_Producto!D2</f>
        <v>28170</v>
      </c>
      <c r="C42" s="38">
        <f>B42+1000</f>
        <v>29170</v>
      </c>
      <c r="D42" s="38">
        <f>Resumen_por_Producto!G2</f>
        <v>32200</v>
      </c>
      <c r="E42" s="39">
        <f>1-C42/D42</f>
        <v>9.4099378881987605E-2</v>
      </c>
      <c r="F42" s="57" t="str">
        <f>IF(E42&gt;=0.08,"Si","No")</f>
        <v>Si</v>
      </c>
      <c r="G42" s="47">
        <f>MAX(D42,CEILING(C42/0.92,100))</f>
        <v>32200</v>
      </c>
      <c r="H42" s="59">
        <f>1-C42/G42</f>
        <v>9.4099378881987605E-2</v>
      </c>
      <c r="I42" s="39">
        <f>G42/D42-1</f>
        <v>0</v>
      </c>
    </row>
    <row r="43" spans="1:9" x14ac:dyDescent="0.2">
      <c r="A43" t="str">
        <f>A16</f>
        <v>Buzo Hoodie Unisex</v>
      </c>
      <c r="B43" s="38">
        <f>Resumen_por_Producto!D3</f>
        <v>30170</v>
      </c>
      <c r="C43" s="38">
        <f>B43+1000</f>
        <v>31170</v>
      </c>
      <c r="D43" s="38">
        <f>Resumen_por_Producto!G3</f>
        <v>38700</v>
      </c>
      <c r="E43" s="39">
        <f>1-C43/D43</f>
        <v>0.1945736434108527</v>
      </c>
      <c r="F43" s="57" t="str">
        <f>IF(E43&gt;=0.08,"Si","No")</f>
        <v>Si</v>
      </c>
      <c r="G43" s="47">
        <f>MAX(D43,CEILING(C43/0.92,100))</f>
        <v>38700</v>
      </c>
      <c r="H43" s="59">
        <f>1-C43/G43</f>
        <v>0.1945736434108527</v>
      </c>
      <c r="I43" s="39">
        <f>G43/D43-1</f>
        <v>0</v>
      </c>
    </row>
    <row r="44" spans="1:9" x14ac:dyDescent="0.2">
      <c r="A44" t="str">
        <f>A17</f>
        <v>Aura Oversize T-Shirt</v>
      </c>
      <c r="B44" s="38">
        <f>Resumen_por_Producto!D4</f>
        <v>23470</v>
      </c>
      <c r="C44" s="38">
        <f>B44+1000</f>
        <v>24470</v>
      </c>
      <c r="D44" s="38">
        <f>Resumen_por_Producto!G4</f>
        <v>26600</v>
      </c>
      <c r="E44" s="39">
        <f>1-C44/D44</f>
        <v>8.0075187969924855E-2</v>
      </c>
      <c r="F44" s="58" t="str">
        <f>IF(E44&gt;=0.08,"Si","No")</f>
        <v>Si</v>
      </c>
      <c r="G44" s="47">
        <f>MAX(D44,CEILING(C44/0.92,100))</f>
        <v>26600</v>
      </c>
      <c r="H44" s="59">
        <f>1-C44/G44</f>
        <v>8.0075187969924855E-2</v>
      </c>
      <c r="I44" s="39">
        <f>G44/D44-1</f>
        <v>0</v>
      </c>
    </row>
    <row r="45" spans="1:9" x14ac:dyDescent="0.2">
      <c r="A45" t="str">
        <f>A18</f>
        <v>Aldea Classic Fit T-Shirt</v>
      </c>
      <c r="B45" s="38">
        <f>Resumen_por_Producto!D5</f>
        <v>22670</v>
      </c>
      <c r="C45" s="38">
        <f>B45+1000</f>
        <v>23670</v>
      </c>
      <c r="D45" s="38">
        <f>Resumen_por_Producto!G5</f>
        <v>25800</v>
      </c>
      <c r="E45" s="39">
        <f>1-C45/D45</f>
        <v>8.2558139534883668E-2</v>
      </c>
      <c r="F45" s="58" t="str">
        <f>IF(E45&gt;=0.08,"Si","No")</f>
        <v>Si</v>
      </c>
      <c r="G45" s="47">
        <f>MAX(D45,CEILING(C45/0.92,100))</f>
        <v>25800</v>
      </c>
      <c r="H45" s="59">
        <f>1-C45/G45</f>
        <v>8.2558139534883668E-2</v>
      </c>
      <c r="I45" s="39">
        <f>G45/D45-1</f>
        <v>0</v>
      </c>
    </row>
    <row r="46" spans="1:9" x14ac:dyDescent="0.2">
      <c r="A46" t="str">
        <f>A19</f>
        <v>Remera Clásica Mujer</v>
      </c>
      <c r="B46" s="38">
        <f>Resumen_por_Producto!D6</f>
        <v>22670</v>
      </c>
      <c r="C46" s="38">
        <f>B46+1000</f>
        <v>23670</v>
      </c>
      <c r="D46" s="38">
        <f>Resumen_por_Producto!G6</f>
        <v>25800</v>
      </c>
      <c r="E46" s="39">
        <f>1-C46/D46</f>
        <v>8.2558139534883668E-2</v>
      </c>
      <c r="F46" s="58" t="str">
        <f>IF(E46&gt;=0.08,"Si","No")</f>
        <v>Si</v>
      </c>
      <c r="G46" s="47">
        <f>MAX(D46,CEILING(C46/0.92,100))</f>
        <v>25800</v>
      </c>
      <c r="H46" s="59">
        <f>1-C46/G46</f>
        <v>8.2558139534883668E-2</v>
      </c>
      <c r="I46" s="39">
        <f>G46/D46-1</f>
        <v>0</v>
      </c>
    </row>
    <row r="47" spans="1:9" x14ac:dyDescent="0.2">
      <c r="A47" t="str">
        <f>A20</f>
        <v>Remera Crop Mujer</v>
      </c>
      <c r="B47" s="38">
        <f>Resumen_por_Producto!D7</f>
        <v>18100</v>
      </c>
      <c r="C47" s="38">
        <f>B47+1000</f>
        <v>19100</v>
      </c>
      <c r="D47" s="38">
        <f>Resumen_por_Producto!G7</f>
        <v>20800</v>
      </c>
      <c r="E47" s="39">
        <f>1-C47/D47</f>
        <v>8.1730769230769273E-2</v>
      </c>
      <c r="F47" s="58" t="str">
        <f>IF(E47&gt;=0.08,"Si","No")</f>
        <v>Si</v>
      </c>
      <c r="G47" s="47">
        <f>MAX(D47,CEILING(C47/0.92,100))</f>
        <v>20800</v>
      </c>
      <c r="H47" s="59">
        <f>1-C47/G47</f>
        <v>8.1730769230769273E-2</v>
      </c>
      <c r="I47" s="39">
        <f>G47/D47-1</f>
        <v>0</v>
      </c>
    </row>
    <row r="48" spans="1:9" x14ac:dyDescent="0.2">
      <c r="A48" t="str">
        <f>A21</f>
        <v>Musculosa Bali</v>
      </c>
      <c r="B48" s="38">
        <f>Resumen_por_Producto!D8</f>
        <v>18100</v>
      </c>
      <c r="C48" s="38">
        <f>B48+1000</f>
        <v>19100</v>
      </c>
      <c r="D48" s="38">
        <f>Resumen_por_Producto!G8</f>
        <v>20800</v>
      </c>
      <c r="E48" s="39">
        <f>1-C48/D48</f>
        <v>8.1730769230769273E-2</v>
      </c>
      <c r="F48" s="58" t="str">
        <f>IF(E48&gt;=0.08,"Si","No")</f>
        <v>Si</v>
      </c>
      <c r="G48" s="47">
        <f>MAX(D48,CEILING(C48/0.92,100))</f>
        <v>20800</v>
      </c>
      <c r="H48" s="59">
        <f>1-C48/G48</f>
        <v>8.1730769230769273E-2</v>
      </c>
      <c r="I48" s="39">
        <f>G48/D48-1</f>
        <v>0</v>
      </c>
    </row>
    <row r="50" spans="1:8" ht="16" x14ac:dyDescent="0.2">
      <c r="A50" s="55" t="s">
        <v>514</v>
      </c>
      <c r="B50" s="55"/>
      <c r="C50" s="55"/>
      <c r="D50" s="55"/>
      <c r="E50" s="55"/>
      <c r="F50" s="55"/>
      <c r="G50" s="55"/>
      <c r="H50" s="55"/>
    </row>
    <row r="51" spans="1:8" x14ac:dyDescent="0.2">
      <c r="A51" s="53" t="s">
        <v>515</v>
      </c>
      <c r="B51" s="53"/>
      <c r="C51" s="53"/>
      <c r="D51" s="53"/>
      <c r="E51" s="53"/>
      <c r="F51" s="53"/>
      <c r="G51" s="53"/>
      <c r="H51" s="53"/>
    </row>
    <row r="52" spans="1:8" x14ac:dyDescent="0.2">
      <c r="A52" s="45" t="s">
        <v>1</v>
      </c>
      <c r="B52" s="45" t="s">
        <v>516</v>
      </c>
      <c r="C52" s="45" t="s">
        <v>7</v>
      </c>
      <c r="D52" s="45" t="s">
        <v>8</v>
      </c>
      <c r="E52" s="45" t="s">
        <v>9</v>
      </c>
      <c r="F52" s="45" t="s">
        <v>10</v>
      </c>
      <c r="G52" s="45" t="s">
        <v>11</v>
      </c>
      <c r="H52" s="45" t="s">
        <v>517</v>
      </c>
    </row>
    <row r="53" spans="1:8" x14ac:dyDescent="0.2">
      <c r="A53" t="str">
        <f>A42</f>
        <v>Buzo Cuello Redondo</v>
      </c>
      <c r="B53" s="39">
        <f>I42</f>
        <v>0</v>
      </c>
      <c r="C53" s="47">
        <f>G42</f>
        <v>32200</v>
      </c>
      <c r="D53" s="47">
        <f>ROUND(Resumen_por_Producto!H2*(1+$B53),-2)</f>
        <v>31200</v>
      </c>
      <c r="E53" s="47">
        <f>ROUND(Resumen_por_Producto!I2*(1+$B53),-2)</f>
        <v>30200</v>
      </c>
      <c r="F53" s="47">
        <f>ROUND(Resumen_por_Producto!J2*(1+$B53),-2)</f>
        <v>29200</v>
      </c>
      <c r="G53" s="47">
        <f>ROUND(Resumen_por_Producto!K2*(1+$B53),-2)</f>
        <v>28200</v>
      </c>
      <c r="H53" s="60">
        <f>C42</f>
        <v>29170</v>
      </c>
    </row>
    <row r="54" spans="1:8" x14ac:dyDescent="0.2">
      <c r="A54" t="str">
        <f>A43</f>
        <v>Buzo Hoodie Unisex</v>
      </c>
      <c r="B54" s="39">
        <f>I43</f>
        <v>0</v>
      </c>
      <c r="C54" s="47">
        <f>G43</f>
        <v>38700</v>
      </c>
      <c r="D54" s="47">
        <f>ROUND(Resumen_por_Producto!H3*(1+$B54),-2)</f>
        <v>36600</v>
      </c>
      <c r="E54" s="47">
        <f>ROUND(Resumen_por_Producto!I3*(1+$B54),-2)</f>
        <v>34500</v>
      </c>
      <c r="F54" s="47">
        <f>ROUND(Resumen_por_Producto!J3*(1+$B54),-2)</f>
        <v>32400</v>
      </c>
      <c r="G54" s="47">
        <f>ROUND(Resumen_por_Producto!K3*(1+$B54),-2)</f>
        <v>30300</v>
      </c>
      <c r="H54" s="60">
        <f>C43</f>
        <v>31170</v>
      </c>
    </row>
    <row r="55" spans="1:8" x14ac:dyDescent="0.2">
      <c r="A55" t="str">
        <f>A44</f>
        <v>Aura Oversize T-Shirt</v>
      </c>
      <c r="B55" s="39">
        <f>I44</f>
        <v>0</v>
      </c>
      <c r="C55" s="47">
        <f>G44</f>
        <v>26600</v>
      </c>
      <c r="D55" s="47">
        <f>ROUND(Resumen_por_Producto!H4*(1+$B55),-2)</f>
        <v>25900</v>
      </c>
      <c r="E55" s="47">
        <f>ROUND(Resumen_por_Producto!I4*(1+$B55),-2)</f>
        <v>25100</v>
      </c>
      <c r="F55" s="47">
        <f>ROUND(Resumen_por_Producto!J4*(1+$B55),-2)</f>
        <v>24300</v>
      </c>
      <c r="G55" s="47">
        <f>ROUND(Resumen_por_Producto!K4*(1+$B55),-2)</f>
        <v>23600</v>
      </c>
      <c r="H55" s="60">
        <f>C44</f>
        <v>24470</v>
      </c>
    </row>
    <row r="56" spans="1:8" x14ac:dyDescent="0.2">
      <c r="A56" t="str">
        <f>A45</f>
        <v>Aldea Classic Fit T-Shirt</v>
      </c>
      <c r="B56" s="39">
        <f>I45</f>
        <v>0</v>
      </c>
      <c r="C56" s="47">
        <f>G45</f>
        <v>25800</v>
      </c>
      <c r="D56" s="47">
        <v>25100</v>
      </c>
      <c r="E56" s="47">
        <v>24400</v>
      </c>
      <c r="F56" s="47">
        <v>23800</v>
      </c>
      <c r="G56" s="47">
        <v>23600</v>
      </c>
      <c r="H56" s="60">
        <f>C45</f>
        <v>23670</v>
      </c>
    </row>
    <row r="57" spans="1:8" x14ac:dyDescent="0.2">
      <c r="A57" t="str">
        <f>A46</f>
        <v>Remera Clásica Mujer</v>
      </c>
      <c r="B57" s="39">
        <f>I46</f>
        <v>0</v>
      </c>
      <c r="C57" s="47">
        <f>G46</f>
        <v>25800</v>
      </c>
      <c r="D57" s="47">
        <v>25100</v>
      </c>
      <c r="E57" s="47">
        <v>24400</v>
      </c>
      <c r="F57" s="47">
        <v>23800</v>
      </c>
      <c r="G57" s="47">
        <v>23600</v>
      </c>
      <c r="H57" s="60">
        <f>C46</f>
        <v>23670</v>
      </c>
    </row>
    <row r="58" spans="1:8" x14ac:dyDescent="0.2">
      <c r="A58" t="str">
        <f>A47</f>
        <v>Remera Crop Mujer</v>
      </c>
      <c r="B58" s="39">
        <f>I47</f>
        <v>0</v>
      </c>
      <c r="C58" s="47">
        <f>G47</f>
        <v>20800</v>
      </c>
      <c r="D58" s="47">
        <f>C58-500</f>
        <v>20300</v>
      </c>
      <c r="E58" s="47">
        <f>C58-1000</f>
        <v>19800</v>
      </c>
      <c r="F58" s="47">
        <f>C58-1500</f>
        <v>19300</v>
      </c>
      <c r="G58" s="47">
        <f>C58-1900</f>
        <v>18900</v>
      </c>
      <c r="H58" s="60">
        <f>C47</f>
        <v>19100</v>
      </c>
    </row>
    <row r="59" spans="1:8" x14ac:dyDescent="0.2">
      <c r="A59" t="str">
        <f>A48</f>
        <v>Musculosa Bali</v>
      </c>
      <c r="B59" s="39">
        <f>I48</f>
        <v>0</v>
      </c>
      <c r="C59" s="47">
        <f>G48</f>
        <v>20800</v>
      </c>
      <c r="D59" s="47">
        <f>ROUND(Resumen_por_Producto!H8*(1+$B59),-2)</f>
        <v>20700</v>
      </c>
      <c r="E59" s="47">
        <f>ROUND(Resumen_por_Producto!I8*(1+$B59),-2)</f>
        <v>20500</v>
      </c>
      <c r="F59" s="47">
        <f>ROUND(Resumen_por_Producto!J8*(1+$B59),-2)</f>
        <v>20300</v>
      </c>
      <c r="G59" s="47">
        <f>ROUND(Resumen_por_Producto!K8*(1+$B59),-2)</f>
        <v>20100</v>
      </c>
      <c r="H59" s="60">
        <f>C48</f>
        <v>19100</v>
      </c>
    </row>
  </sheetData>
  <mergeCells count="8">
    <mergeCell ref="A39:I39"/>
    <mergeCell ref="A50:H50"/>
    <mergeCell ref="A51:H51"/>
    <mergeCell ref="A1:R1"/>
    <mergeCell ref="A2:R2"/>
    <mergeCell ref="T13:Y13"/>
    <mergeCell ref="T23:Y23"/>
    <mergeCell ref="A38:I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election activeCell="G2" sqref="G2"/>
    </sheetView>
  </sheetViews>
  <sheetFormatPr baseColWidth="10" defaultColWidth="14.5" defaultRowHeight="15" customHeight="1" x14ac:dyDescent="0.2"/>
  <cols>
    <col min="1" max="1" width="10.6640625" customWidth="1"/>
    <col min="2" max="2" width="18.5" customWidth="1"/>
    <col min="3" max="26" width="10.6640625" customWidth="1"/>
  </cols>
  <sheetData>
    <row r="1" spans="1:8" x14ac:dyDescent="0.2">
      <c r="A1" s="6" t="s">
        <v>79</v>
      </c>
      <c r="B1" s="6" t="s">
        <v>80</v>
      </c>
      <c r="C1" s="6" t="s">
        <v>2</v>
      </c>
      <c r="D1" s="6" t="s">
        <v>81</v>
      </c>
      <c r="E1" s="6" t="s">
        <v>82</v>
      </c>
      <c r="F1" s="6" t="s">
        <v>83</v>
      </c>
      <c r="G1" s="6" t="s">
        <v>84</v>
      </c>
      <c r="H1" s="7" t="s">
        <v>85</v>
      </c>
    </row>
    <row r="2" spans="1:8" x14ac:dyDescent="0.2">
      <c r="A2" s="8" t="s">
        <v>86</v>
      </c>
      <c r="B2" s="8" t="s">
        <v>17</v>
      </c>
      <c r="C2" s="8" t="s">
        <v>18</v>
      </c>
      <c r="D2" s="8" t="s">
        <v>19</v>
      </c>
      <c r="E2" s="9">
        <v>20600</v>
      </c>
      <c r="F2" s="9">
        <v>23600</v>
      </c>
      <c r="G2" s="9">
        <v>24100</v>
      </c>
      <c r="H2" s="10" t="s">
        <v>91</v>
      </c>
    </row>
    <row r="3" spans="1:8" x14ac:dyDescent="0.2">
      <c r="A3" s="8" t="s">
        <v>88</v>
      </c>
      <c r="B3" s="8" t="s">
        <v>17</v>
      </c>
      <c r="C3" s="8" t="s">
        <v>20</v>
      </c>
      <c r="D3" s="8" t="s">
        <v>19</v>
      </c>
      <c r="E3" s="9">
        <v>23170</v>
      </c>
      <c r="F3" s="11">
        <v>26170</v>
      </c>
      <c r="G3" s="9">
        <v>28170</v>
      </c>
      <c r="H3" s="10" t="s">
        <v>89</v>
      </c>
    </row>
    <row r="4" spans="1:8" x14ac:dyDescent="0.2">
      <c r="A4" s="10" t="s">
        <v>90</v>
      </c>
      <c r="B4" s="8" t="s">
        <v>17</v>
      </c>
      <c r="C4" s="8" t="s">
        <v>21</v>
      </c>
      <c r="D4" s="8" t="s">
        <v>19</v>
      </c>
      <c r="E4" s="9">
        <v>23170</v>
      </c>
      <c r="F4" s="11">
        <v>26170</v>
      </c>
      <c r="G4" s="9">
        <v>28170</v>
      </c>
      <c r="H4" s="10" t="s">
        <v>87</v>
      </c>
    </row>
    <row r="5" spans="1:8" x14ac:dyDescent="0.2">
      <c r="A5" s="8" t="s">
        <v>92</v>
      </c>
      <c r="B5" s="8" t="s">
        <v>34</v>
      </c>
      <c r="C5" s="8" t="s">
        <v>35</v>
      </c>
      <c r="D5" s="8" t="s">
        <v>36</v>
      </c>
      <c r="E5" s="9">
        <v>14600</v>
      </c>
      <c r="F5" s="9">
        <v>17600</v>
      </c>
      <c r="G5" s="9">
        <v>18100</v>
      </c>
      <c r="H5" s="10" t="s">
        <v>36</v>
      </c>
    </row>
    <row r="6" spans="1:8" x14ac:dyDescent="0.2">
      <c r="A6" s="8" t="s">
        <v>93</v>
      </c>
      <c r="B6" s="8" t="s">
        <v>34</v>
      </c>
      <c r="C6" s="8" t="s">
        <v>37</v>
      </c>
      <c r="D6" s="8" t="s">
        <v>36</v>
      </c>
      <c r="E6" s="9">
        <v>14600</v>
      </c>
      <c r="F6" s="9">
        <v>17600</v>
      </c>
      <c r="G6" s="9">
        <v>18100</v>
      </c>
      <c r="H6" s="10" t="s">
        <v>36</v>
      </c>
    </row>
    <row r="7" spans="1:8" x14ac:dyDescent="0.2">
      <c r="A7" s="8" t="s">
        <v>94</v>
      </c>
      <c r="B7" s="8" t="s">
        <v>34</v>
      </c>
      <c r="C7" s="8" t="s">
        <v>26</v>
      </c>
      <c r="D7" s="8" t="s">
        <v>36</v>
      </c>
      <c r="E7" s="9">
        <v>14600</v>
      </c>
      <c r="F7" s="9">
        <v>17600</v>
      </c>
      <c r="G7" s="9">
        <v>18100</v>
      </c>
      <c r="H7" s="10" t="s">
        <v>36</v>
      </c>
    </row>
    <row r="8" spans="1:8" x14ac:dyDescent="0.2">
      <c r="A8" s="8" t="s">
        <v>95</v>
      </c>
      <c r="B8" s="8" t="s">
        <v>34</v>
      </c>
      <c r="C8" s="8" t="s">
        <v>33</v>
      </c>
      <c r="D8" s="8" t="s">
        <v>36</v>
      </c>
      <c r="E8" s="9">
        <v>14600</v>
      </c>
      <c r="F8" s="9">
        <v>17600</v>
      </c>
      <c r="G8" s="9">
        <v>18100</v>
      </c>
      <c r="H8" s="10" t="s">
        <v>36</v>
      </c>
    </row>
    <row r="9" spans="1:8" x14ac:dyDescent="0.2">
      <c r="A9" s="8" t="s">
        <v>96</v>
      </c>
      <c r="B9" s="8" t="s">
        <v>22</v>
      </c>
      <c r="C9" s="8" t="s">
        <v>18</v>
      </c>
      <c r="D9" s="8" t="s">
        <v>23</v>
      </c>
      <c r="E9" s="9">
        <v>21600</v>
      </c>
      <c r="F9" s="9">
        <v>24600</v>
      </c>
      <c r="G9" s="9">
        <v>25100</v>
      </c>
      <c r="H9" s="10" t="s">
        <v>99</v>
      </c>
    </row>
    <row r="10" spans="1:8" x14ac:dyDescent="0.2">
      <c r="A10" s="8" t="s">
        <v>98</v>
      </c>
      <c r="B10" s="8" t="s">
        <v>22</v>
      </c>
      <c r="C10" s="8" t="s">
        <v>20</v>
      </c>
      <c r="D10" s="8" t="s">
        <v>23</v>
      </c>
      <c r="E10" s="9">
        <v>24170</v>
      </c>
      <c r="F10" s="9">
        <v>27170</v>
      </c>
      <c r="G10" s="9">
        <v>29170</v>
      </c>
      <c r="H10" s="10" t="s">
        <v>97</v>
      </c>
    </row>
    <row r="11" spans="1:8" x14ac:dyDescent="0.2">
      <c r="A11" s="8" t="s">
        <v>100</v>
      </c>
      <c r="B11" s="8" t="s">
        <v>22</v>
      </c>
      <c r="C11" s="8" t="s">
        <v>21</v>
      </c>
      <c r="D11" s="8" t="s">
        <v>23</v>
      </c>
      <c r="E11" s="9">
        <v>25170</v>
      </c>
      <c r="F11" s="9">
        <v>28170</v>
      </c>
      <c r="G11" s="9">
        <v>30170</v>
      </c>
      <c r="H11" s="10" t="s">
        <v>101</v>
      </c>
    </row>
    <row r="12" spans="1:8" x14ac:dyDescent="0.2">
      <c r="A12" s="8" t="s">
        <v>102</v>
      </c>
      <c r="B12" s="8" t="s">
        <v>38</v>
      </c>
      <c r="C12" s="8" t="s">
        <v>32</v>
      </c>
      <c r="D12" s="8" t="s">
        <v>39</v>
      </c>
      <c r="E12" s="9">
        <v>14600</v>
      </c>
      <c r="F12" s="9">
        <v>17600</v>
      </c>
      <c r="G12" s="9">
        <v>18100</v>
      </c>
      <c r="H12" s="10" t="s">
        <v>103</v>
      </c>
    </row>
    <row r="13" spans="1:8" x14ac:dyDescent="0.2">
      <c r="A13" s="8" t="s">
        <v>104</v>
      </c>
      <c r="B13" s="8" t="s">
        <v>38</v>
      </c>
      <c r="C13" s="8" t="s">
        <v>40</v>
      </c>
      <c r="D13" s="8" t="s">
        <v>39</v>
      </c>
      <c r="E13" s="9">
        <v>14600</v>
      </c>
      <c r="F13" s="9">
        <v>17600</v>
      </c>
      <c r="G13" s="9">
        <v>18100</v>
      </c>
      <c r="H13" s="10" t="s">
        <v>103</v>
      </c>
    </row>
    <row r="14" spans="1:8" x14ac:dyDescent="0.2">
      <c r="A14" s="8" t="s">
        <v>105</v>
      </c>
      <c r="B14" s="8" t="s">
        <v>29</v>
      </c>
      <c r="C14" s="8" t="s">
        <v>18</v>
      </c>
      <c r="D14" s="8" t="s">
        <v>30</v>
      </c>
      <c r="E14" s="9">
        <v>15100</v>
      </c>
      <c r="F14" s="9">
        <v>18100</v>
      </c>
      <c r="G14" s="9">
        <v>18600</v>
      </c>
      <c r="H14" s="10" t="s">
        <v>108</v>
      </c>
    </row>
    <row r="15" spans="1:8" x14ac:dyDescent="0.2">
      <c r="A15" s="8" t="s">
        <v>107</v>
      </c>
      <c r="B15" s="8" t="s">
        <v>29</v>
      </c>
      <c r="C15" s="8" t="s">
        <v>20</v>
      </c>
      <c r="D15" s="8" t="s">
        <v>30</v>
      </c>
      <c r="E15" s="9">
        <v>17670</v>
      </c>
      <c r="F15" s="9">
        <v>20670</v>
      </c>
      <c r="G15" s="9">
        <v>22670</v>
      </c>
      <c r="H15" s="10" t="s">
        <v>106</v>
      </c>
    </row>
    <row r="16" spans="1:8" x14ac:dyDescent="0.2">
      <c r="A16" s="8" t="s">
        <v>109</v>
      </c>
      <c r="B16" s="8" t="s">
        <v>31</v>
      </c>
      <c r="C16" s="8" t="s">
        <v>32</v>
      </c>
      <c r="D16" s="8" t="s">
        <v>30</v>
      </c>
      <c r="E16" s="9">
        <v>15100</v>
      </c>
      <c r="F16" s="9">
        <v>18100</v>
      </c>
      <c r="G16" s="9">
        <v>18600</v>
      </c>
      <c r="H16" s="10" t="s">
        <v>112</v>
      </c>
    </row>
    <row r="17" spans="1:8" x14ac:dyDescent="0.2">
      <c r="A17" s="8" t="s">
        <v>111</v>
      </c>
      <c r="B17" s="8" t="s">
        <v>31</v>
      </c>
      <c r="C17" s="8" t="s">
        <v>33</v>
      </c>
      <c r="D17" s="8" t="s">
        <v>30</v>
      </c>
      <c r="E17" s="9">
        <v>17670</v>
      </c>
      <c r="F17" s="9">
        <v>20670</v>
      </c>
      <c r="G17" s="9">
        <v>22670</v>
      </c>
      <c r="H17" s="10" t="s">
        <v>110</v>
      </c>
    </row>
    <row r="18" spans="1:8" x14ac:dyDescent="0.2">
      <c r="A18" s="8" t="s">
        <v>113</v>
      </c>
      <c r="B18" s="8" t="s">
        <v>27</v>
      </c>
      <c r="C18" s="8" t="s">
        <v>18</v>
      </c>
      <c r="D18" s="8" t="s">
        <v>28</v>
      </c>
      <c r="E18" s="9">
        <v>15500</v>
      </c>
      <c r="F18" s="9">
        <v>18500</v>
      </c>
      <c r="G18" s="9">
        <v>19000</v>
      </c>
      <c r="H18" s="10" t="s">
        <v>114</v>
      </c>
    </row>
    <row r="19" spans="1:8" x14ac:dyDescent="0.2">
      <c r="A19" s="8" t="s">
        <v>115</v>
      </c>
      <c r="B19" s="8" t="s">
        <v>27</v>
      </c>
      <c r="C19" s="8" t="s">
        <v>20</v>
      </c>
      <c r="D19" s="8" t="s">
        <v>28</v>
      </c>
      <c r="E19" s="9">
        <v>18070</v>
      </c>
      <c r="F19" s="9">
        <v>21070</v>
      </c>
      <c r="G19" s="9">
        <v>23070</v>
      </c>
      <c r="H19" s="10" t="s">
        <v>116</v>
      </c>
    </row>
    <row r="20" spans="1:8" x14ac:dyDescent="0.2">
      <c r="A20" s="8" t="s">
        <v>117</v>
      </c>
      <c r="B20" s="8" t="s">
        <v>27</v>
      </c>
      <c r="C20" s="8" t="s">
        <v>21</v>
      </c>
      <c r="D20" s="8" t="s">
        <v>28</v>
      </c>
      <c r="E20" s="9">
        <v>18470</v>
      </c>
      <c r="F20" s="9">
        <v>21470</v>
      </c>
      <c r="G20" s="9">
        <v>23470</v>
      </c>
      <c r="H20" s="10" t="s">
        <v>118</v>
      </c>
    </row>
    <row r="21" spans="1:8" ht="15.75" customHeight="1" x14ac:dyDescent="0.2"/>
    <row r="22" spans="1:8" ht="15.75" customHeight="1" x14ac:dyDescent="0.2"/>
    <row r="23" spans="1:8" ht="15.75" customHeight="1" x14ac:dyDescent="0.2"/>
    <row r="24" spans="1:8" ht="15.75" customHeight="1" x14ac:dyDescent="0.2"/>
    <row r="25" spans="1:8" ht="15.75" customHeight="1" x14ac:dyDescent="0.2"/>
    <row r="26" spans="1:8" ht="15.75" customHeight="1" x14ac:dyDescent="0.2"/>
    <row r="27" spans="1:8" ht="15.75" customHeight="1" x14ac:dyDescent="0.2"/>
    <row r="28" spans="1:8" ht="15.75" customHeight="1" x14ac:dyDescent="0.2"/>
    <row r="29" spans="1:8" ht="15.75" customHeight="1" x14ac:dyDescent="0.2"/>
    <row r="30" spans="1:8" ht="15.75" customHeight="1" x14ac:dyDescent="0.2"/>
    <row r="31" spans="1:8" ht="15.75" customHeight="1" x14ac:dyDescent="0.2"/>
    <row r="32" spans="1: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000"/>
  <sheetViews>
    <sheetView workbookViewId="0"/>
  </sheetViews>
  <sheetFormatPr baseColWidth="10" defaultColWidth="14.5" defaultRowHeight="15" customHeight="1" x14ac:dyDescent="0.2"/>
  <cols>
    <col min="1" max="1" width="36.6640625" customWidth="1"/>
    <col min="2" max="2" width="51.83203125" customWidth="1"/>
    <col min="3" max="4" width="11.6640625" customWidth="1"/>
    <col min="5" max="5" width="66.6640625" customWidth="1"/>
    <col min="6" max="6" width="14.1640625" customWidth="1"/>
    <col min="7" max="7" width="11.6640625" customWidth="1"/>
    <col min="8" max="8" width="27.6640625" customWidth="1"/>
    <col min="9" max="10" width="11.6640625" customWidth="1"/>
    <col min="11" max="11" width="37" customWidth="1"/>
    <col min="12" max="21" width="11.6640625" customWidth="1"/>
    <col min="22" max="22" width="15" customWidth="1"/>
    <col min="23" max="23" width="25" customWidth="1"/>
    <col min="24" max="26" width="10.6640625" customWidth="1"/>
  </cols>
  <sheetData>
    <row r="1" spans="1:23" ht="19" x14ac:dyDescent="0.25">
      <c r="A1" s="12" t="s">
        <v>119</v>
      </c>
    </row>
    <row r="2" spans="1:23" x14ac:dyDescent="0.2">
      <c r="A2" s="13" t="s">
        <v>120</v>
      </c>
    </row>
    <row r="4" spans="1:23" ht="16" x14ac:dyDescent="0.2">
      <c r="A4" s="14" t="s">
        <v>121</v>
      </c>
    </row>
    <row r="6" spans="1:23" x14ac:dyDescent="0.2">
      <c r="A6" s="15" t="s">
        <v>1</v>
      </c>
      <c r="B6" s="15" t="s">
        <v>122</v>
      </c>
      <c r="C6" s="15" t="s">
        <v>4</v>
      </c>
      <c r="D6" s="15" t="s">
        <v>123</v>
      </c>
      <c r="E6" s="15" t="s">
        <v>124</v>
      </c>
      <c r="F6" s="15" t="s">
        <v>125</v>
      </c>
      <c r="G6" s="16" t="s">
        <v>126</v>
      </c>
      <c r="H6" s="16" t="s">
        <v>127</v>
      </c>
      <c r="I6" s="16" t="s">
        <v>128</v>
      </c>
      <c r="J6" s="16" t="s">
        <v>129</v>
      </c>
      <c r="K6" s="16" t="s">
        <v>130</v>
      </c>
      <c r="L6" s="16" t="s">
        <v>131</v>
      </c>
      <c r="M6" s="16" t="s">
        <v>132</v>
      </c>
      <c r="N6" s="16" t="s">
        <v>133</v>
      </c>
      <c r="O6" s="16" t="s">
        <v>134</v>
      </c>
      <c r="P6" s="16" t="s">
        <v>135</v>
      </c>
      <c r="Q6" s="16" t="s">
        <v>136</v>
      </c>
      <c r="R6" s="16" t="s">
        <v>137</v>
      </c>
      <c r="S6" s="16" t="s">
        <v>138</v>
      </c>
      <c r="T6" s="16" t="s">
        <v>139</v>
      </c>
      <c r="U6" s="16" t="s">
        <v>140</v>
      </c>
      <c r="V6" s="17" t="s">
        <v>141</v>
      </c>
      <c r="W6" s="17" t="s">
        <v>142</v>
      </c>
    </row>
    <row r="7" spans="1:23" x14ac:dyDescent="0.2">
      <c r="A7" s="2" t="s">
        <v>22</v>
      </c>
      <c r="B7" s="2" t="s">
        <v>23</v>
      </c>
      <c r="C7" s="3">
        <v>28170</v>
      </c>
      <c r="D7" s="3">
        <v>55000</v>
      </c>
      <c r="E7" s="3">
        <f>D7-C7</f>
        <v>26830</v>
      </c>
      <c r="F7" s="4">
        <f>E7/D7</f>
        <v>0.48781818181818182</v>
      </c>
      <c r="G7" s="3">
        <f>D7*0.9</f>
        <v>49500</v>
      </c>
      <c r="H7" s="18">
        <f>G7-C7</f>
        <v>21330</v>
      </c>
      <c r="I7" s="4">
        <f>H7/G7</f>
        <v>0.43090909090909091</v>
      </c>
      <c r="J7" s="3">
        <f>D7*0.85</f>
        <v>46750</v>
      </c>
      <c r="K7" s="18">
        <f>J7-C7</f>
        <v>18580</v>
      </c>
      <c r="L7" s="4">
        <f>K7/J7</f>
        <v>0.39743315508021393</v>
      </c>
      <c r="M7" s="3">
        <f>D7*0.8</f>
        <v>44000</v>
      </c>
      <c r="N7" s="18">
        <f>M7-C7</f>
        <v>15830</v>
      </c>
      <c r="O7" s="4">
        <f>N7/M7</f>
        <v>0.3597727272727273</v>
      </c>
      <c r="P7" s="3">
        <f>D7*0.75</f>
        <v>41250</v>
      </c>
      <c r="Q7" s="18">
        <f>P7-C7</f>
        <v>13080</v>
      </c>
      <c r="R7" s="4">
        <f>Q7/P7</f>
        <v>0.31709090909090909</v>
      </c>
      <c r="S7" s="3">
        <f>D7*0.7</f>
        <v>38500</v>
      </c>
      <c r="T7" s="18">
        <f>S7-C7</f>
        <v>10330</v>
      </c>
      <c r="U7" s="4">
        <f>T7/S7</f>
        <v>0.26831168831168833</v>
      </c>
      <c r="V7" s="4">
        <f>1-C7/(0.85*D7)</f>
        <v>0.39743315508021393</v>
      </c>
      <c r="W7" s="2" t="str">
        <f>IF(V7&gt;=0.3,"Resiste 30% OK",IF(V7&gt;=0.25,"Resiste hasta 25%",IF(V7&gt;=0.2,"Resiste hasta 20%",IF(V7&gt;=0.15,"Resiste hasta 15%",IF(V7&gt;=0.1,"Solo hasta 10%","No banca descuento")))))</f>
        <v>Resiste 30% OK</v>
      </c>
    </row>
    <row r="8" spans="1:23" x14ac:dyDescent="0.2">
      <c r="A8" s="2" t="s">
        <v>17</v>
      </c>
      <c r="B8" s="2" t="s">
        <v>19</v>
      </c>
      <c r="C8" s="3">
        <v>26170</v>
      </c>
      <c r="D8" s="3">
        <v>43000</v>
      </c>
      <c r="E8" s="3"/>
      <c r="F8" s="4"/>
      <c r="G8" s="3"/>
      <c r="H8" s="18"/>
      <c r="I8" s="4"/>
      <c r="J8" s="3"/>
      <c r="K8" s="18"/>
      <c r="L8" s="4"/>
      <c r="M8" s="3"/>
      <c r="N8" s="18"/>
      <c r="O8" s="4"/>
      <c r="P8" s="3"/>
      <c r="Q8" s="18"/>
      <c r="R8" s="4"/>
      <c r="S8" s="3"/>
      <c r="T8" s="18"/>
      <c r="U8" s="4"/>
      <c r="V8" s="4"/>
    </row>
    <row r="9" spans="1:23" x14ac:dyDescent="0.2">
      <c r="A9" s="2" t="s">
        <v>38</v>
      </c>
      <c r="B9" s="2" t="s">
        <v>39</v>
      </c>
      <c r="C9" s="3">
        <v>13096</v>
      </c>
      <c r="D9" s="3">
        <v>21800</v>
      </c>
      <c r="E9" s="3"/>
      <c r="F9" s="4"/>
      <c r="G9" s="3"/>
      <c r="H9" s="18"/>
      <c r="I9" s="4"/>
      <c r="J9" s="3"/>
      <c r="K9" s="18"/>
      <c r="L9" s="4"/>
      <c r="M9" s="3"/>
      <c r="N9" s="18"/>
      <c r="O9" s="4"/>
      <c r="P9" s="3"/>
      <c r="Q9" s="18"/>
      <c r="R9" s="4"/>
      <c r="S9" s="3"/>
      <c r="T9" s="18"/>
      <c r="U9" s="4"/>
      <c r="V9" s="4"/>
    </row>
    <row r="10" spans="1:23" x14ac:dyDescent="0.2">
      <c r="A10" s="2" t="s">
        <v>34</v>
      </c>
      <c r="B10" s="2" t="s">
        <v>36</v>
      </c>
      <c r="C10" s="3">
        <v>15156</v>
      </c>
      <c r="D10" s="3">
        <v>23500</v>
      </c>
      <c r="E10" s="3"/>
      <c r="F10" s="4"/>
      <c r="G10" s="3"/>
      <c r="H10" s="18"/>
      <c r="I10" s="4"/>
      <c r="J10" s="3"/>
      <c r="K10" s="18"/>
      <c r="L10" s="4"/>
      <c r="M10" s="3"/>
      <c r="N10" s="18"/>
      <c r="O10" s="4"/>
      <c r="P10" s="3"/>
      <c r="Q10" s="18"/>
      <c r="R10" s="4"/>
      <c r="S10" s="3"/>
      <c r="T10" s="18"/>
      <c r="U10" s="4"/>
      <c r="V10" s="4"/>
    </row>
    <row r="11" spans="1:23" x14ac:dyDescent="0.2">
      <c r="A11" s="2" t="s">
        <v>27</v>
      </c>
      <c r="B11" s="2" t="s">
        <v>28</v>
      </c>
      <c r="C11" s="3">
        <v>20496</v>
      </c>
      <c r="D11" s="3">
        <v>31000</v>
      </c>
      <c r="E11" s="3"/>
      <c r="F11" s="4"/>
      <c r="G11" s="3"/>
      <c r="H11" s="18"/>
      <c r="I11" s="4"/>
      <c r="J11" s="3"/>
      <c r="K11" s="18"/>
      <c r="L11" s="4"/>
      <c r="M11" s="3"/>
      <c r="N11" s="18"/>
      <c r="O11" s="4"/>
      <c r="P11" s="3"/>
      <c r="Q11" s="18"/>
      <c r="R11" s="4"/>
      <c r="S11" s="3"/>
      <c r="T11" s="18"/>
      <c r="U11" s="4"/>
      <c r="V11" s="4"/>
    </row>
    <row r="12" spans="1:23" x14ac:dyDescent="0.2">
      <c r="A12" s="2" t="s">
        <v>143</v>
      </c>
      <c r="B12" s="2" t="s">
        <v>144</v>
      </c>
      <c r="C12" s="3">
        <v>40000</v>
      </c>
      <c r="D12" s="3">
        <v>60000</v>
      </c>
      <c r="E12" s="3"/>
      <c r="F12" s="4"/>
      <c r="G12" s="3"/>
      <c r="H12" s="18"/>
      <c r="I12" s="4"/>
      <c r="J12" s="3"/>
      <c r="K12" s="18"/>
      <c r="L12" s="4"/>
      <c r="M12" s="3"/>
      <c r="N12" s="18"/>
      <c r="O12" s="4"/>
      <c r="P12" s="3"/>
      <c r="Q12" s="18"/>
      <c r="R12" s="4"/>
      <c r="S12" s="3"/>
      <c r="T12" s="18"/>
      <c r="U12" s="4"/>
      <c r="V12" s="4"/>
    </row>
    <row r="13" spans="1:23" x14ac:dyDescent="0.2">
      <c r="A13" s="2" t="s">
        <v>29</v>
      </c>
      <c r="B13" s="2" t="s">
        <v>30</v>
      </c>
      <c r="C13" s="3">
        <v>19696</v>
      </c>
      <c r="D13" s="3">
        <v>28600</v>
      </c>
      <c r="E13" s="3"/>
      <c r="F13" s="4"/>
      <c r="G13" s="3"/>
      <c r="H13" s="18"/>
      <c r="I13" s="4"/>
      <c r="J13" s="3"/>
      <c r="K13" s="18"/>
      <c r="L13" s="4"/>
      <c r="M13" s="3"/>
      <c r="N13" s="18"/>
      <c r="O13" s="4"/>
      <c r="P13" s="3"/>
      <c r="Q13" s="18"/>
      <c r="R13" s="4"/>
      <c r="S13" s="3"/>
      <c r="T13" s="18"/>
      <c r="U13" s="4"/>
      <c r="V13" s="4"/>
    </row>
    <row r="14" spans="1:23" x14ac:dyDescent="0.2">
      <c r="A14" s="2" t="s">
        <v>31</v>
      </c>
      <c r="B14" s="2" t="s">
        <v>30</v>
      </c>
      <c r="C14" s="3">
        <v>19696</v>
      </c>
      <c r="D14" s="3">
        <v>28600</v>
      </c>
      <c r="E14" s="3"/>
      <c r="F14" s="4"/>
      <c r="G14" s="3"/>
      <c r="H14" s="18"/>
      <c r="I14" s="4"/>
      <c r="J14" s="3"/>
      <c r="K14" s="18"/>
      <c r="L14" s="4"/>
      <c r="M14" s="3"/>
      <c r="N14" s="18"/>
      <c r="O14" s="4"/>
      <c r="P14" s="3"/>
      <c r="Q14" s="18"/>
      <c r="R14" s="4"/>
      <c r="S14" s="3"/>
      <c r="T14" s="18"/>
      <c r="U14" s="4"/>
      <c r="V14" s="4"/>
    </row>
    <row r="17" spans="1:13" ht="16" x14ac:dyDescent="0.2">
      <c r="A17" s="14" t="s">
        <v>145</v>
      </c>
    </row>
    <row r="18" spans="1:13" x14ac:dyDescent="0.2">
      <c r="A18" s="13" t="s">
        <v>146</v>
      </c>
    </row>
    <row r="20" spans="1:13" x14ac:dyDescent="0.2">
      <c r="A20" s="15" t="s">
        <v>1</v>
      </c>
      <c r="B20" s="19" t="s">
        <v>147</v>
      </c>
      <c r="E20" s="20" t="s">
        <v>148</v>
      </c>
      <c r="H20" s="21" t="s">
        <v>149</v>
      </c>
      <c r="K20" s="22" t="s">
        <v>150</v>
      </c>
    </row>
    <row r="21" spans="1:13" ht="15.75" customHeight="1" x14ac:dyDescent="0.2">
      <c r="B21" s="23" t="s">
        <v>151</v>
      </c>
      <c r="C21" s="23" t="s">
        <v>152</v>
      </c>
      <c r="D21" s="23" t="s">
        <v>153</v>
      </c>
      <c r="E21" s="23" t="s">
        <v>151</v>
      </c>
      <c r="F21" s="23" t="s">
        <v>152</v>
      </c>
      <c r="G21" s="23" t="s">
        <v>153</v>
      </c>
      <c r="H21" s="23" t="s">
        <v>151</v>
      </c>
      <c r="I21" s="23" t="s">
        <v>152</v>
      </c>
      <c r="J21" s="23" t="s">
        <v>153</v>
      </c>
      <c r="K21" s="23" t="s">
        <v>151</v>
      </c>
      <c r="L21" s="23" t="s">
        <v>152</v>
      </c>
      <c r="M21" s="23" t="s">
        <v>153</v>
      </c>
    </row>
    <row r="22" spans="1:13" ht="15.75" customHeight="1" x14ac:dyDescent="0.2">
      <c r="A22" s="2" t="str">
        <f t="shared" ref="A22:A29" si="0">A7</f>
        <v>Buzo Hoodie Unisex</v>
      </c>
      <c r="B22" s="18">
        <f t="shared" ref="B22:B29" si="1">3*(D7*0.9-C7)</f>
        <v>63990</v>
      </c>
      <c r="C22" s="18">
        <f t="shared" ref="C22:C29" si="2">5*(D7*0.8-C7)</f>
        <v>79150</v>
      </c>
      <c r="D22" s="18">
        <f t="shared" ref="D22:D29" si="3">10*(D7*0.7-C7)</f>
        <v>103300</v>
      </c>
      <c r="E22" s="18">
        <f t="shared" ref="E22:E29" si="4">3*(D7*0.9-C7)</f>
        <v>63990</v>
      </c>
      <c r="F22" s="18">
        <f t="shared" ref="F22:F29" si="5">5*(D7*0.85-C7)</f>
        <v>92900</v>
      </c>
      <c r="G22" s="18">
        <f t="shared" ref="G22:G29" si="6">10*(D7*0.8-C7)</f>
        <v>158300</v>
      </c>
      <c r="H22" s="18">
        <f t="shared" ref="H22:H29" si="7">3*(D7*0.9-C7)</f>
        <v>63990</v>
      </c>
      <c r="I22" s="18">
        <f t="shared" ref="I22:I29" si="8">5*(D7*0.8-C7)</f>
        <v>79150</v>
      </c>
      <c r="J22" s="18">
        <f t="shared" ref="J22:J29" si="9">10*(D7*0.75-C7)</f>
        <v>130800</v>
      </c>
      <c r="K22" s="18">
        <f t="shared" ref="K22:K29" si="10">3*(D7*0.9-C7)</f>
        <v>63990</v>
      </c>
      <c r="L22" s="18">
        <f t="shared" ref="L22:L29" si="11">5*(D7*0.85-C7)</f>
        <v>92900</v>
      </c>
      <c r="M22" s="18">
        <f t="shared" ref="M22:M29" si="12">10*(D7*0.78-C7)</f>
        <v>147300</v>
      </c>
    </row>
    <row r="23" spans="1:13" ht="15.75" customHeight="1" x14ac:dyDescent="0.2">
      <c r="A23" s="2" t="str">
        <f t="shared" si="0"/>
        <v>Buzo Cuello Redondo</v>
      </c>
      <c r="B23" s="18">
        <f t="shared" si="1"/>
        <v>37590</v>
      </c>
      <c r="C23" s="18">
        <f t="shared" si="2"/>
        <v>41150</v>
      </c>
      <c r="D23" s="18">
        <f t="shared" si="3"/>
        <v>39299.999999999964</v>
      </c>
      <c r="E23" s="18">
        <f t="shared" si="4"/>
        <v>37590</v>
      </c>
      <c r="F23" s="18">
        <f t="shared" si="5"/>
        <v>51900</v>
      </c>
      <c r="G23" s="18">
        <f t="shared" si="6"/>
        <v>82300</v>
      </c>
      <c r="H23" s="18">
        <f t="shared" si="7"/>
        <v>37590</v>
      </c>
      <c r="I23" s="18">
        <f t="shared" si="8"/>
        <v>41150</v>
      </c>
      <c r="J23" s="18">
        <f t="shared" si="9"/>
        <v>60800</v>
      </c>
      <c r="K23" s="18">
        <f t="shared" si="10"/>
        <v>37590</v>
      </c>
      <c r="L23" s="18">
        <f t="shared" si="11"/>
        <v>51900</v>
      </c>
      <c r="M23" s="18">
        <f t="shared" si="12"/>
        <v>73700</v>
      </c>
    </row>
    <row r="24" spans="1:13" ht="15.75" customHeight="1" x14ac:dyDescent="0.2">
      <c r="A24" s="2" t="str">
        <f t="shared" si="0"/>
        <v>Musculosa Bali</v>
      </c>
      <c r="B24" s="18">
        <f t="shared" si="1"/>
        <v>19572</v>
      </c>
      <c r="C24" s="18">
        <f t="shared" si="2"/>
        <v>21720</v>
      </c>
      <c r="D24" s="18">
        <f t="shared" si="3"/>
        <v>21639.999999999982</v>
      </c>
      <c r="E24" s="18">
        <f t="shared" si="4"/>
        <v>19572</v>
      </c>
      <c r="F24" s="18">
        <f t="shared" si="5"/>
        <v>27170</v>
      </c>
      <c r="G24" s="18">
        <f t="shared" si="6"/>
        <v>43440</v>
      </c>
      <c r="H24" s="18">
        <f t="shared" si="7"/>
        <v>19572</v>
      </c>
      <c r="I24" s="18">
        <f t="shared" si="8"/>
        <v>21720</v>
      </c>
      <c r="J24" s="18">
        <f t="shared" si="9"/>
        <v>32540</v>
      </c>
      <c r="K24" s="18">
        <f t="shared" si="10"/>
        <v>19572</v>
      </c>
      <c r="L24" s="18">
        <f t="shared" si="11"/>
        <v>27170</v>
      </c>
      <c r="M24" s="18">
        <f t="shared" si="12"/>
        <v>39080</v>
      </c>
    </row>
    <row r="25" spans="1:13" ht="15.75" customHeight="1" x14ac:dyDescent="0.2">
      <c r="A25" s="2" t="str">
        <f t="shared" si="0"/>
        <v>Remera Crop Mujer</v>
      </c>
      <c r="B25" s="18">
        <f t="shared" si="1"/>
        <v>17982</v>
      </c>
      <c r="C25" s="18">
        <f t="shared" si="2"/>
        <v>18220</v>
      </c>
      <c r="D25" s="18">
        <f t="shared" si="3"/>
        <v>12940</v>
      </c>
      <c r="E25" s="18">
        <f t="shared" si="4"/>
        <v>17982</v>
      </c>
      <c r="F25" s="18">
        <f t="shared" si="5"/>
        <v>24095</v>
      </c>
      <c r="G25" s="18">
        <f t="shared" si="6"/>
        <v>36440</v>
      </c>
      <c r="H25" s="18">
        <f t="shared" si="7"/>
        <v>17982</v>
      </c>
      <c r="I25" s="18">
        <f t="shared" si="8"/>
        <v>18220</v>
      </c>
      <c r="J25" s="18">
        <f t="shared" si="9"/>
        <v>24690</v>
      </c>
      <c r="K25" s="18">
        <f t="shared" si="10"/>
        <v>17982</v>
      </c>
      <c r="L25" s="18">
        <f t="shared" si="11"/>
        <v>24095</v>
      </c>
      <c r="M25" s="18">
        <f t="shared" si="12"/>
        <v>31740</v>
      </c>
    </row>
    <row r="26" spans="1:13" ht="15.75" customHeight="1" x14ac:dyDescent="0.2">
      <c r="A26" s="2" t="str">
        <f t="shared" si="0"/>
        <v>Aura Oversize T-Shirt</v>
      </c>
      <c r="B26" s="18">
        <f t="shared" si="1"/>
        <v>22212</v>
      </c>
      <c r="C26" s="18">
        <f t="shared" si="2"/>
        <v>21520</v>
      </c>
      <c r="D26" s="18">
        <f t="shared" si="3"/>
        <v>12040</v>
      </c>
      <c r="E26" s="18">
        <f t="shared" si="4"/>
        <v>22212</v>
      </c>
      <c r="F26" s="18">
        <f t="shared" si="5"/>
        <v>29270</v>
      </c>
      <c r="G26" s="18">
        <f t="shared" si="6"/>
        <v>43040</v>
      </c>
      <c r="H26" s="18">
        <f t="shared" si="7"/>
        <v>22212</v>
      </c>
      <c r="I26" s="18">
        <f t="shared" si="8"/>
        <v>21520</v>
      </c>
      <c r="J26" s="18">
        <f t="shared" si="9"/>
        <v>27540</v>
      </c>
      <c r="K26" s="18">
        <f t="shared" si="10"/>
        <v>22212</v>
      </c>
      <c r="L26" s="18">
        <f t="shared" si="11"/>
        <v>29270</v>
      </c>
      <c r="M26" s="18">
        <f t="shared" si="12"/>
        <v>36840</v>
      </c>
    </row>
    <row r="27" spans="1:13" ht="15.75" customHeight="1" x14ac:dyDescent="0.2">
      <c r="A27" s="2" t="str">
        <f t="shared" si="0"/>
        <v>Astra Oversize Hoodie</v>
      </c>
      <c r="B27" s="18">
        <f t="shared" si="1"/>
        <v>42000</v>
      </c>
      <c r="C27" s="18">
        <f t="shared" si="2"/>
        <v>40000</v>
      </c>
      <c r="D27" s="18">
        <f t="shared" si="3"/>
        <v>20000</v>
      </c>
      <c r="E27" s="18">
        <f t="shared" si="4"/>
        <v>42000</v>
      </c>
      <c r="F27" s="18">
        <f t="shared" si="5"/>
        <v>55000</v>
      </c>
      <c r="G27" s="18">
        <f t="shared" si="6"/>
        <v>80000</v>
      </c>
      <c r="H27" s="18">
        <f t="shared" si="7"/>
        <v>42000</v>
      </c>
      <c r="I27" s="18">
        <f t="shared" si="8"/>
        <v>40000</v>
      </c>
      <c r="J27" s="18">
        <f t="shared" si="9"/>
        <v>50000</v>
      </c>
      <c r="K27" s="18">
        <f t="shared" si="10"/>
        <v>42000</v>
      </c>
      <c r="L27" s="18">
        <f t="shared" si="11"/>
        <v>55000</v>
      </c>
      <c r="M27" s="18">
        <f t="shared" si="12"/>
        <v>68000</v>
      </c>
    </row>
    <row r="28" spans="1:13" ht="15.75" customHeight="1" x14ac:dyDescent="0.2">
      <c r="A28" s="2" t="str">
        <f t="shared" si="0"/>
        <v>Aldea Classic Fit T-Shirt</v>
      </c>
      <c r="B28" s="18">
        <f t="shared" si="1"/>
        <v>18132</v>
      </c>
      <c r="C28" s="18">
        <f t="shared" si="2"/>
        <v>15920</v>
      </c>
      <c r="D28" s="18">
        <f t="shared" si="3"/>
        <v>3240</v>
      </c>
      <c r="E28" s="18">
        <f t="shared" si="4"/>
        <v>18132</v>
      </c>
      <c r="F28" s="18">
        <f t="shared" si="5"/>
        <v>23070</v>
      </c>
      <c r="G28" s="18">
        <f t="shared" si="6"/>
        <v>31840</v>
      </c>
      <c r="H28" s="18">
        <f t="shared" si="7"/>
        <v>18132</v>
      </c>
      <c r="I28" s="18">
        <f t="shared" si="8"/>
        <v>15920</v>
      </c>
      <c r="J28" s="18">
        <f t="shared" si="9"/>
        <v>17540</v>
      </c>
      <c r="K28" s="18">
        <f t="shared" si="10"/>
        <v>18132</v>
      </c>
      <c r="L28" s="18">
        <f t="shared" si="11"/>
        <v>23070</v>
      </c>
      <c r="M28" s="18">
        <f t="shared" si="12"/>
        <v>26120</v>
      </c>
    </row>
    <row r="29" spans="1:13" ht="15.75" customHeight="1" x14ac:dyDescent="0.2">
      <c r="A29" s="2" t="str">
        <f t="shared" si="0"/>
        <v>Remera Clásica Mujer</v>
      </c>
      <c r="B29" s="18">
        <f t="shared" si="1"/>
        <v>18132</v>
      </c>
      <c r="C29" s="18">
        <f t="shared" si="2"/>
        <v>15920</v>
      </c>
      <c r="D29" s="18">
        <f t="shared" si="3"/>
        <v>3240</v>
      </c>
      <c r="E29" s="18">
        <f t="shared" si="4"/>
        <v>18132</v>
      </c>
      <c r="F29" s="18">
        <f t="shared" si="5"/>
        <v>23070</v>
      </c>
      <c r="G29" s="18">
        <f t="shared" si="6"/>
        <v>31840</v>
      </c>
      <c r="H29" s="18">
        <f t="shared" si="7"/>
        <v>18132</v>
      </c>
      <c r="I29" s="18">
        <f t="shared" si="8"/>
        <v>15920</v>
      </c>
      <c r="J29" s="18">
        <f t="shared" si="9"/>
        <v>17540</v>
      </c>
      <c r="K29" s="18">
        <f t="shared" si="10"/>
        <v>18132</v>
      </c>
      <c r="L29" s="18">
        <f t="shared" si="11"/>
        <v>23070</v>
      </c>
      <c r="M29" s="18">
        <f t="shared" si="12"/>
        <v>26120</v>
      </c>
    </row>
    <row r="30" spans="1:13" ht="15.75" customHeight="1" x14ac:dyDescent="0.2">
      <c r="A30" s="15" t="s">
        <v>154</v>
      </c>
      <c r="B30" s="24">
        <f t="shared" ref="B30:M30" si="13">SUM(B22:B29)</f>
        <v>239610</v>
      </c>
      <c r="C30" s="24">
        <f t="shared" si="13"/>
        <v>253600</v>
      </c>
      <c r="D30" s="24">
        <f t="shared" si="13"/>
        <v>215699.99999999994</v>
      </c>
      <c r="E30" s="24">
        <f t="shared" si="13"/>
        <v>239610</v>
      </c>
      <c r="F30" s="24">
        <f t="shared" si="13"/>
        <v>326475</v>
      </c>
      <c r="G30" s="24">
        <f t="shared" si="13"/>
        <v>507200</v>
      </c>
      <c r="H30" s="24">
        <f t="shared" si="13"/>
        <v>239610</v>
      </c>
      <c r="I30" s="24">
        <f t="shared" si="13"/>
        <v>253600</v>
      </c>
      <c r="J30" s="24">
        <f t="shared" si="13"/>
        <v>361450</v>
      </c>
      <c r="K30" s="24">
        <f t="shared" si="13"/>
        <v>239610</v>
      </c>
      <c r="L30" s="24">
        <f t="shared" si="13"/>
        <v>326475</v>
      </c>
      <c r="M30" s="24">
        <f t="shared" si="13"/>
        <v>448900</v>
      </c>
    </row>
    <row r="31" spans="1:13" ht="15.75" customHeight="1" x14ac:dyDescent="0.2"/>
    <row r="32" spans="1:13" ht="15.75" customHeight="1" x14ac:dyDescent="0.2"/>
    <row r="33" spans="1:5" ht="15.75" customHeight="1" x14ac:dyDescent="0.2">
      <c r="A33" s="14" t="s">
        <v>155</v>
      </c>
    </row>
    <row r="34" spans="1:5" ht="15.75" customHeight="1" x14ac:dyDescent="0.2"/>
    <row r="35" spans="1:5" ht="15.75" customHeight="1" x14ac:dyDescent="0.2">
      <c r="A35" s="15" t="s">
        <v>156</v>
      </c>
      <c r="B35" s="15" t="s">
        <v>157</v>
      </c>
      <c r="C35" s="15" t="s">
        <v>158</v>
      </c>
      <c r="D35" s="15" t="s">
        <v>159</v>
      </c>
      <c r="E35" s="15" t="s">
        <v>160</v>
      </c>
    </row>
    <row r="36" spans="1:5" ht="15.75" customHeight="1" x14ac:dyDescent="0.2">
      <c r="A36" s="25" t="s">
        <v>161</v>
      </c>
      <c r="B36" s="26">
        <v>0.1</v>
      </c>
      <c r="C36" s="26">
        <v>0.15</v>
      </c>
      <c r="D36" s="26">
        <v>0.22</v>
      </c>
      <c r="E36" s="27" t="s">
        <v>162</v>
      </c>
    </row>
    <row r="37" spans="1:5" ht="15.75" customHeight="1" x14ac:dyDescent="0.2">
      <c r="A37" s="28" t="s">
        <v>163</v>
      </c>
      <c r="B37" s="26">
        <v>0.1</v>
      </c>
      <c r="C37" s="26">
        <v>0.15</v>
      </c>
      <c r="D37" s="26">
        <v>0.15</v>
      </c>
      <c r="E37" s="27" t="s">
        <v>164</v>
      </c>
    </row>
    <row r="38" spans="1:5" ht="15.75" customHeight="1" x14ac:dyDescent="0.2">
      <c r="A38" s="29" t="s">
        <v>165</v>
      </c>
      <c r="B38" s="26">
        <v>0.1</v>
      </c>
      <c r="C38" s="26">
        <v>0.15</v>
      </c>
      <c r="D38" s="26">
        <v>0.2</v>
      </c>
      <c r="E38" s="27" t="s">
        <v>166</v>
      </c>
    </row>
    <row r="39" spans="1:5" ht="15.75" customHeight="1" x14ac:dyDescent="0.2">
      <c r="A39" s="30" t="s">
        <v>167</v>
      </c>
      <c r="B39" s="26">
        <v>0.1</v>
      </c>
      <c r="C39" s="26">
        <v>0.15</v>
      </c>
      <c r="D39" s="26">
        <v>0.25</v>
      </c>
      <c r="E39" s="27" t="s">
        <v>168</v>
      </c>
    </row>
    <row r="40" spans="1:5" ht="15.75" customHeight="1" x14ac:dyDescent="0.2"/>
    <row r="41" spans="1:5" ht="15.75" customHeight="1" x14ac:dyDescent="0.2">
      <c r="A41" s="31" t="s">
        <v>169</v>
      </c>
    </row>
    <row r="42" spans="1:5" ht="15.75" customHeight="1" x14ac:dyDescent="0.2">
      <c r="A42" s="32" t="s">
        <v>170</v>
      </c>
      <c r="B42" s="33" t="s">
        <v>171</v>
      </c>
    </row>
    <row r="43" spans="1:5" ht="15.75" customHeight="1" x14ac:dyDescent="0.2">
      <c r="A43" s="32" t="s">
        <v>172</v>
      </c>
      <c r="B43" s="34" t="s">
        <v>173</v>
      </c>
    </row>
    <row r="44" spans="1:5" ht="15.75" customHeight="1" x14ac:dyDescent="0.2">
      <c r="A44" s="32" t="s">
        <v>174</v>
      </c>
      <c r="B44" s="35" t="s">
        <v>175</v>
      </c>
    </row>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22:M29">
    <cfRule type="cellIs" dxfId="18" priority="1" operator="lessThanOrEqual">
      <formula>0</formula>
    </cfRule>
  </conditionalFormatting>
  <conditionalFormatting sqref="F7:F14">
    <cfRule type="cellIs" dxfId="17" priority="2" operator="lessThan">
      <formula>0.15</formula>
    </cfRule>
    <cfRule type="cellIs" dxfId="16" priority="3" operator="between">
      <formula>0.15</formula>
      <formula>0.25</formula>
    </cfRule>
    <cfRule type="cellIs" dxfId="15" priority="4" operator="greaterThan">
      <formula>0.25</formula>
    </cfRule>
  </conditionalFormatting>
  <conditionalFormatting sqref="I7:I14">
    <cfRule type="cellIs" dxfId="14" priority="5" operator="lessThan">
      <formula>0.15</formula>
    </cfRule>
    <cfRule type="cellIs" dxfId="13" priority="6" operator="between">
      <formula>0.15</formula>
      <formula>0.25</formula>
    </cfRule>
    <cfRule type="cellIs" dxfId="12" priority="7" operator="greaterThan">
      <formula>0.25</formula>
    </cfRule>
  </conditionalFormatting>
  <conditionalFormatting sqref="L7:L14">
    <cfRule type="cellIs" dxfId="11" priority="8" operator="lessThan">
      <formula>0.15</formula>
    </cfRule>
    <cfRule type="cellIs" dxfId="10" priority="9" operator="between">
      <formula>0.15</formula>
      <formula>0.25</formula>
    </cfRule>
    <cfRule type="cellIs" dxfId="9" priority="10" operator="greaterThan">
      <formula>0.25</formula>
    </cfRule>
  </conditionalFormatting>
  <conditionalFormatting sqref="O7:O14">
    <cfRule type="cellIs" dxfId="8" priority="11" operator="lessThan">
      <formula>0.15</formula>
    </cfRule>
    <cfRule type="cellIs" dxfId="7" priority="12" operator="between">
      <formula>0.15</formula>
      <formula>0.25</formula>
    </cfRule>
    <cfRule type="cellIs" dxfId="6" priority="13" operator="greaterThan">
      <formula>0.25</formula>
    </cfRule>
  </conditionalFormatting>
  <conditionalFormatting sqref="R7:R14">
    <cfRule type="cellIs" dxfId="5" priority="14" operator="lessThan">
      <formula>0.15</formula>
    </cfRule>
    <cfRule type="cellIs" dxfId="4" priority="15" operator="between">
      <formula>0.15</formula>
      <formula>0.25</formula>
    </cfRule>
    <cfRule type="cellIs" dxfId="3" priority="16" operator="greaterThan">
      <formula>0.25</formula>
    </cfRule>
  </conditionalFormatting>
  <conditionalFormatting sqref="U7:U14">
    <cfRule type="cellIs" dxfId="2" priority="17" operator="lessThan">
      <formula>0.15</formula>
    </cfRule>
    <cfRule type="cellIs" dxfId="1" priority="18" operator="between">
      <formula>0.15</formula>
      <formula>0.25</formula>
    </cfRule>
    <cfRule type="cellIs" dxfId="0" priority="19" operator="greaterThan">
      <formula>0.25</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4.5" defaultRowHeight="15" customHeight="1" x14ac:dyDescent="0.2"/>
  <cols>
    <col min="1" max="1" width="116.6640625" customWidth="1"/>
    <col min="2" max="26" width="10.6640625" customWidth="1"/>
  </cols>
  <sheetData>
    <row r="1" spans="1:1" ht="16" x14ac:dyDescent="0.2">
      <c r="A1" s="36" t="s">
        <v>176</v>
      </c>
    </row>
    <row r="2" spans="1:1" x14ac:dyDescent="0.2">
      <c r="A2" s="36"/>
    </row>
    <row r="3" spans="1:1" ht="32" x14ac:dyDescent="0.2">
      <c r="A3" s="36" t="s">
        <v>177</v>
      </c>
    </row>
    <row r="4" spans="1:1" x14ac:dyDescent="0.2">
      <c r="A4" s="36"/>
    </row>
    <row r="5" spans="1:1" ht="16" x14ac:dyDescent="0.2">
      <c r="A5" s="36" t="s">
        <v>178</v>
      </c>
    </row>
    <row r="6" spans="1:1" ht="32" x14ac:dyDescent="0.2">
      <c r="A6" s="36" t="s">
        <v>179</v>
      </c>
    </row>
    <row r="7" spans="1:1" ht="32" x14ac:dyDescent="0.2">
      <c r="A7" s="36" t="s">
        <v>180</v>
      </c>
    </row>
    <row r="8" spans="1:1" ht="32" x14ac:dyDescent="0.2">
      <c r="A8" s="36" t="s">
        <v>181</v>
      </c>
    </row>
    <row r="9" spans="1:1" x14ac:dyDescent="0.2">
      <c r="A9" s="36"/>
    </row>
    <row r="10" spans="1:1" ht="16" x14ac:dyDescent="0.2">
      <c r="A10" s="36" t="s">
        <v>182</v>
      </c>
    </row>
    <row r="11" spans="1:1" ht="16" x14ac:dyDescent="0.2">
      <c r="A11" s="36" t="s">
        <v>183</v>
      </c>
    </row>
    <row r="12" spans="1:1" ht="16" x14ac:dyDescent="0.2">
      <c r="A12" s="36" t="s">
        <v>184</v>
      </c>
    </row>
    <row r="13" spans="1:1" ht="16" x14ac:dyDescent="0.2">
      <c r="A13" s="36" t="s">
        <v>185</v>
      </c>
    </row>
    <row r="14" spans="1:1" ht="16" x14ac:dyDescent="0.2">
      <c r="A14" s="36" t="s">
        <v>186</v>
      </c>
    </row>
    <row r="15" spans="1:1" ht="16" x14ac:dyDescent="0.2">
      <c r="A15" s="36" t="s">
        <v>187</v>
      </c>
    </row>
    <row r="16" spans="1:1" ht="16" x14ac:dyDescent="0.2">
      <c r="A16" s="36" t="s">
        <v>188</v>
      </c>
    </row>
    <row r="17" spans="1:1" ht="16" x14ac:dyDescent="0.2">
      <c r="A17" s="36" t="s">
        <v>189</v>
      </c>
    </row>
    <row r="18" spans="1:1" x14ac:dyDescent="0.2">
      <c r="A18" s="36"/>
    </row>
    <row r="19" spans="1:1" ht="16" x14ac:dyDescent="0.2">
      <c r="A19" s="36" t="s">
        <v>190</v>
      </c>
    </row>
    <row r="20" spans="1:1" ht="16" x14ac:dyDescent="0.2">
      <c r="A20" s="36" t="s">
        <v>191</v>
      </c>
    </row>
    <row r="21" spans="1:1" ht="15.75" customHeight="1" x14ac:dyDescent="0.2">
      <c r="A21" s="36" t="s">
        <v>192</v>
      </c>
    </row>
    <row r="22" spans="1:1" ht="15.75" customHeight="1" x14ac:dyDescent="0.2">
      <c r="A22" s="36" t="s">
        <v>193</v>
      </c>
    </row>
    <row r="23" spans="1:1" ht="15.75" customHeight="1" x14ac:dyDescent="0.2">
      <c r="A23" s="36"/>
    </row>
    <row r="24" spans="1:1" ht="15.75" customHeight="1" x14ac:dyDescent="0.2">
      <c r="A24" s="36" t="s">
        <v>194</v>
      </c>
    </row>
    <row r="25" spans="1:1" ht="15.75" customHeight="1" x14ac:dyDescent="0.2">
      <c r="A25" s="36" t="s">
        <v>195</v>
      </c>
    </row>
    <row r="26" spans="1:1" ht="15.75" customHeight="1" x14ac:dyDescent="0.2">
      <c r="A26" s="36"/>
    </row>
    <row r="27" spans="1:1" ht="15.75" customHeight="1" x14ac:dyDescent="0.2">
      <c r="A27" s="36" t="s">
        <v>196</v>
      </c>
    </row>
    <row r="28" spans="1:1" ht="15.75" customHeight="1" x14ac:dyDescent="0.2">
      <c r="A28" s="36" t="s">
        <v>197</v>
      </c>
    </row>
    <row r="29" spans="1:1" ht="15.75" customHeight="1" x14ac:dyDescent="0.2">
      <c r="A29" s="36"/>
    </row>
    <row r="30" spans="1:1" ht="15.75" customHeight="1" x14ac:dyDescent="0.2">
      <c r="A30" s="37" t="s">
        <v>198</v>
      </c>
    </row>
    <row r="31" spans="1:1" ht="15.75" customHeight="1" x14ac:dyDescent="0.2">
      <c r="A31" s="36"/>
    </row>
    <row r="32" spans="1:1" ht="15.75" customHeight="1" x14ac:dyDescent="0.2">
      <c r="A32" s="36" t="s">
        <v>199</v>
      </c>
    </row>
    <row r="33" spans="1:1" ht="15.75" customHeight="1" x14ac:dyDescent="0.2">
      <c r="A33" s="36"/>
    </row>
    <row r="34" spans="1:1" ht="15.75" customHeight="1" x14ac:dyDescent="0.2">
      <c r="A34" s="36" t="s">
        <v>200</v>
      </c>
    </row>
    <row r="35" spans="1:1" ht="15.75" customHeight="1" x14ac:dyDescent="0.2">
      <c r="A35" s="36"/>
    </row>
    <row r="36" spans="1:1" ht="15.75" customHeight="1" x14ac:dyDescent="0.2">
      <c r="A36" s="36" t="s">
        <v>201</v>
      </c>
    </row>
    <row r="37" spans="1:1" ht="15.75" customHeight="1" x14ac:dyDescent="0.2">
      <c r="A37" s="36"/>
    </row>
    <row r="38" spans="1:1" ht="15.75" customHeight="1" x14ac:dyDescent="0.2">
      <c r="A38" s="36" t="s">
        <v>202</v>
      </c>
    </row>
    <row r="39" spans="1:1" ht="15.75" customHeight="1" x14ac:dyDescent="0.2">
      <c r="A39" s="36" t="s">
        <v>203</v>
      </c>
    </row>
    <row r="40" spans="1:1" ht="15.75" customHeight="1" x14ac:dyDescent="0.2">
      <c r="A40" s="36" t="s">
        <v>204</v>
      </c>
    </row>
    <row r="41" spans="1:1" ht="15.75" customHeight="1" x14ac:dyDescent="0.2">
      <c r="A41" s="36"/>
    </row>
    <row r="42" spans="1:1" ht="15.75" customHeight="1" x14ac:dyDescent="0.2">
      <c r="A42" s="36" t="s">
        <v>205</v>
      </c>
    </row>
    <row r="43" spans="1:1" ht="15.75" customHeight="1" x14ac:dyDescent="0.2">
      <c r="A43" s="36"/>
    </row>
    <row r="44" spans="1:1" ht="15.75" customHeight="1" x14ac:dyDescent="0.2">
      <c r="A44" s="36" t="s">
        <v>206</v>
      </c>
    </row>
    <row r="45" spans="1:1" ht="15.75" customHeight="1" x14ac:dyDescent="0.2">
      <c r="A45" s="36"/>
    </row>
    <row r="46" spans="1:1" ht="15.75" customHeight="1" x14ac:dyDescent="0.2">
      <c r="A46" s="36" t="s">
        <v>207</v>
      </c>
    </row>
    <row r="47" spans="1:1" ht="15.75" customHeight="1" x14ac:dyDescent="0.2">
      <c r="A47" s="36"/>
    </row>
    <row r="48" spans="1:1" ht="15.75" customHeight="1" x14ac:dyDescent="0.2">
      <c r="A48" s="36" t="s">
        <v>208</v>
      </c>
    </row>
    <row r="49" spans="1:1" ht="15.75" customHeight="1" x14ac:dyDescent="0.2">
      <c r="A49" s="36"/>
    </row>
    <row r="50" spans="1:1" ht="15.75" customHeight="1" x14ac:dyDescent="0.2">
      <c r="A50" s="36" t="s">
        <v>209</v>
      </c>
    </row>
    <row r="51" spans="1:1" ht="15.75" customHeight="1" x14ac:dyDescent="0.2">
      <c r="A51" s="36" t="s">
        <v>210</v>
      </c>
    </row>
    <row r="52" spans="1:1" ht="15.75" customHeight="1" x14ac:dyDescent="0.2">
      <c r="A52" s="36" t="s">
        <v>211</v>
      </c>
    </row>
    <row r="53" spans="1:1" ht="15.75" customHeight="1" x14ac:dyDescent="0.2">
      <c r="A53" s="36" t="s">
        <v>212</v>
      </c>
    </row>
    <row r="54" spans="1:1" ht="15.75" customHeight="1" x14ac:dyDescent="0.2">
      <c r="A54" s="36" t="s">
        <v>213</v>
      </c>
    </row>
    <row r="55" spans="1:1" ht="15.75" customHeight="1" x14ac:dyDescent="0.2">
      <c r="A55" s="36" t="s">
        <v>214</v>
      </c>
    </row>
    <row r="56" spans="1:1" ht="15.75" customHeight="1" x14ac:dyDescent="0.2">
      <c r="A56" s="36"/>
    </row>
    <row r="57" spans="1:1" ht="15.75" customHeight="1" x14ac:dyDescent="0.2">
      <c r="A57" s="36" t="s">
        <v>215</v>
      </c>
    </row>
    <row r="58" spans="1:1" ht="15.75" customHeight="1" x14ac:dyDescent="0.2">
      <c r="A58" s="36"/>
    </row>
    <row r="59" spans="1:1" ht="15.75" customHeight="1" x14ac:dyDescent="0.2">
      <c r="A59" s="36" t="s">
        <v>216</v>
      </c>
    </row>
    <row r="60" spans="1:1" ht="15.75" customHeight="1" x14ac:dyDescent="0.2">
      <c r="A60" s="36"/>
    </row>
    <row r="61" spans="1:1" ht="15.75" customHeight="1" x14ac:dyDescent="0.2">
      <c r="A61" s="36" t="s">
        <v>217</v>
      </c>
    </row>
    <row r="62" spans="1:1" ht="15.75" customHeight="1" x14ac:dyDescent="0.2">
      <c r="A62" s="36"/>
    </row>
    <row r="63" spans="1:1" ht="15.75" customHeight="1" x14ac:dyDescent="0.2">
      <c r="A63" s="36" t="s">
        <v>218</v>
      </c>
    </row>
    <row r="64" spans="1:1" ht="15.75" customHeight="1" x14ac:dyDescent="0.2">
      <c r="A64" s="36"/>
    </row>
    <row r="65" spans="1:1" ht="15.75" customHeight="1" x14ac:dyDescent="0.2">
      <c r="A65" s="36" t="s">
        <v>219</v>
      </c>
    </row>
    <row r="66" spans="1:1" ht="15.75" customHeight="1" x14ac:dyDescent="0.2">
      <c r="A66" s="36" t="s">
        <v>220</v>
      </c>
    </row>
    <row r="67" spans="1:1" ht="15.75" customHeight="1" x14ac:dyDescent="0.2">
      <c r="A67" s="36" t="s">
        <v>221</v>
      </c>
    </row>
    <row r="68" spans="1:1" ht="15.75" customHeight="1" x14ac:dyDescent="0.2">
      <c r="A68" s="36" t="s">
        <v>222</v>
      </c>
    </row>
    <row r="69" spans="1:1" ht="15.75" customHeight="1" x14ac:dyDescent="0.2">
      <c r="A69" s="36"/>
    </row>
    <row r="70" spans="1:1" ht="15.75" customHeight="1" x14ac:dyDescent="0.2">
      <c r="A70" s="36" t="s">
        <v>223</v>
      </c>
    </row>
    <row r="71" spans="1:1" ht="15.75" customHeight="1" x14ac:dyDescent="0.2">
      <c r="A71" s="36" t="s">
        <v>220</v>
      </c>
    </row>
    <row r="72" spans="1:1" ht="15.75" customHeight="1" x14ac:dyDescent="0.2">
      <c r="A72" s="36" t="s">
        <v>221</v>
      </c>
    </row>
    <row r="73" spans="1:1" ht="15.75" customHeight="1" x14ac:dyDescent="0.2">
      <c r="A73" s="36" t="s">
        <v>222</v>
      </c>
    </row>
    <row r="74" spans="1:1" ht="15.75" customHeight="1" x14ac:dyDescent="0.2">
      <c r="A74" s="36" t="s">
        <v>224</v>
      </c>
    </row>
    <row r="75" spans="1:1" ht="15.75" customHeight="1" x14ac:dyDescent="0.2">
      <c r="A75" s="36" t="s">
        <v>225</v>
      </c>
    </row>
    <row r="76" spans="1:1" ht="15.75" customHeight="1" x14ac:dyDescent="0.2">
      <c r="A76" s="36" t="s">
        <v>226</v>
      </c>
    </row>
    <row r="77" spans="1:1" ht="15.75" customHeight="1" x14ac:dyDescent="0.2">
      <c r="A77" s="36"/>
    </row>
    <row r="78" spans="1:1" ht="15.75" customHeight="1" x14ac:dyDescent="0.2">
      <c r="A78" s="36" t="s">
        <v>227</v>
      </c>
    </row>
    <row r="79" spans="1:1" ht="15.75" customHeight="1" x14ac:dyDescent="0.2">
      <c r="A79" s="36" t="s">
        <v>228</v>
      </c>
    </row>
    <row r="80" spans="1:1" ht="15.75" customHeight="1" x14ac:dyDescent="0.2">
      <c r="A80" s="36" t="s">
        <v>229</v>
      </c>
    </row>
    <row r="81" spans="1:1" ht="15.75" customHeight="1" x14ac:dyDescent="0.2">
      <c r="A81" s="36" t="s">
        <v>230</v>
      </c>
    </row>
    <row r="82" spans="1:1" ht="15.75" customHeight="1" x14ac:dyDescent="0.2">
      <c r="A82" s="36" t="s">
        <v>231</v>
      </c>
    </row>
    <row r="83" spans="1:1" ht="15.75" customHeight="1" x14ac:dyDescent="0.2">
      <c r="A83" s="36"/>
    </row>
    <row r="84" spans="1:1" ht="15.75" customHeight="1" x14ac:dyDescent="0.2">
      <c r="A84" s="36" t="s">
        <v>232</v>
      </c>
    </row>
    <row r="85" spans="1:1" ht="15.75" customHeight="1" x14ac:dyDescent="0.2">
      <c r="A85" s="36" t="s">
        <v>233</v>
      </c>
    </row>
    <row r="86" spans="1:1" ht="15.75" customHeight="1" x14ac:dyDescent="0.2">
      <c r="A86" s="36" t="s">
        <v>234</v>
      </c>
    </row>
    <row r="87" spans="1:1" ht="15.75" customHeight="1" x14ac:dyDescent="0.2">
      <c r="A87" s="36"/>
    </row>
    <row r="88" spans="1:1" ht="15.75" customHeight="1" x14ac:dyDescent="0.2">
      <c r="A88" s="36" t="s">
        <v>235</v>
      </c>
    </row>
    <row r="89" spans="1:1" ht="15.75" customHeight="1" x14ac:dyDescent="0.2">
      <c r="A89" s="36" t="s">
        <v>236</v>
      </c>
    </row>
    <row r="90" spans="1:1" ht="15.75" customHeight="1" x14ac:dyDescent="0.2">
      <c r="A90" s="36" t="s">
        <v>237</v>
      </c>
    </row>
    <row r="91" spans="1:1" ht="15.75" customHeight="1" x14ac:dyDescent="0.2">
      <c r="A91" s="36"/>
    </row>
    <row r="92" spans="1:1" ht="15.75" customHeight="1" x14ac:dyDescent="0.2">
      <c r="A92" s="36" t="s">
        <v>238</v>
      </c>
    </row>
    <row r="93" spans="1:1" ht="15.75" customHeight="1" x14ac:dyDescent="0.2">
      <c r="A93" s="36" t="s">
        <v>239</v>
      </c>
    </row>
    <row r="94" spans="1:1" ht="15.75" customHeight="1" x14ac:dyDescent="0.2">
      <c r="A94" s="36" t="s">
        <v>240</v>
      </c>
    </row>
    <row r="95" spans="1:1" ht="15.75" customHeight="1" x14ac:dyDescent="0.2">
      <c r="A95" s="36" t="s">
        <v>241</v>
      </c>
    </row>
    <row r="96" spans="1:1" ht="15.75" customHeight="1" x14ac:dyDescent="0.2">
      <c r="A96" s="36" t="s">
        <v>237</v>
      </c>
    </row>
    <row r="97" spans="1:1" ht="15.75" customHeight="1" x14ac:dyDescent="0.2">
      <c r="A97" s="36"/>
    </row>
    <row r="98" spans="1:1" ht="15.75" customHeight="1" x14ac:dyDescent="0.2">
      <c r="A98" s="36" t="s">
        <v>242</v>
      </c>
    </row>
    <row r="99" spans="1:1" ht="15.75" customHeight="1" x14ac:dyDescent="0.2">
      <c r="A99" s="36" t="s">
        <v>236</v>
      </c>
    </row>
    <row r="100" spans="1:1" ht="15.75" customHeight="1" x14ac:dyDescent="0.2">
      <c r="A100" s="36" t="s">
        <v>243</v>
      </c>
    </row>
    <row r="101" spans="1:1" ht="15.75" customHeight="1" x14ac:dyDescent="0.2">
      <c r="A101" s="36" t="s">
        <v>237</v>
      </c>
    </row>
    <row r="102" spans="1:1" ht="15.75" customHeight="1" x14ac:dyDescent="0.2">
      <c r="A102" s="36"/>
    </row>
    <row r="103" spans="1:1" ht="15.75" customHeight="1" x14ac:dyDescent="0.2">
      <c r="A103" s="36" t="s">
        <v>244</v>
      </c>
    </row>
    <row r="104" spans="1:1" ht="15.75" customHeight="1" x14ac:dyDescent="0.2">
      <c r="A104" s="36"/>
    </row>
    <row r="105" spans="1:1" ht="15.75" customHeight="1" x14ac:dyDescent="0.2">
      <c r="A105" s="36" t="s">
        <v>245</v>
      </c>
    </row>
    <row r="106" spans="1:1" ht="15.75" customHeight="1" x14ac:dyDescent="0.2">
      <c r="A106" s="36" t="s">
        <v>246</v>
      </c>
    </row>
    <row r="107" spans="1:1" ht="15.75" customHeight="1" x14ac:dyDescent="0.2">
      <c r="A107" s="36" t="s">
        <v>247</v>
      </c>
    </row>
    <row r="108" spans="1:1" ht="15.75" customHeight="1" x14ac:dyDescent="0.2">
      <c r="A108" s="36" t="s">
        <v>248</v>
      </c>
    </row>
    <row r="109" spans="1:1" ht="15.75" customHeight="1" x14ac:dyDescent="0.2">
      <c r="A109" s="36" t="s">
        <v>249</v>
      </c>
    </row>
    <row r="110" spans="1:1" ht="15.75" customHeight="1" x14ac:dyDescent="0.2">
      <c r="A110" s="36"/>
    </row>
    <row r="111" spans="1:1" ht="15.75" customHeight="1" x14ac:dyDescent="0.2">
      <c r="A111" s="36" t="s">
        <v>250</v>
      </c>
    </row>
    <row r="112" spans="1:1" ht="15.75" customHeight="1" x14ac:dyDescent="0.2">
      <c r="A112" s="36" t="s">
        <v>251</v>
      </c>
    </row>
    <row r="113" spans="1:1" ht="15.75" customHeight="1" x14ac:dyDescent="0.2">
      <c r="A113" s="36" t="s">
        <v>252</v>
      </c>
    </row>
    <row r="114" spans="1:1" ht="15.75" customHeight="1" x14ac:dyDescent="0.2">
      <c r="A114" s="36" t="s">
        <v>253</v>
      </c>
    </row>
    <row r="115" spans="1:1" ht="15.75" customHeight="1" x14ac:dyDescent="0.2">
      <c r="A115" s="36" t="s">
        <v>254</v>
      </c>
    </row>
    <row r="116" spans="1:1" ht="15.75" customHeight="1" x14ac:dyDescent="0.2">
      <c r="A116" s="36" t="s">
        <v>255</v>
      </c>
    </row>
    <row r="117" spans="1:1" ht="15.75" customHeight="1" x14ac:dyDescent="0.2">
      <c r="A117" s="36" t="s">
        <v>256</v>
      </c>
    </row>
    <row r="118" spans="1:1" ht="15.75" customHeight="1" x14ac:dyDescent="0.2">
      <c r="A118" s="36" t="s">
        <v>257</v>
      </c>
    </row>
    <row r="119" spans="1:1" ht="15.75" customHeight="1" x14ac:dyDescent="0.2">
      <c r="A119" s="36"/>
    </row>
    <row r="120" spans="1:1" ht="15.75" customHeight="1" x14ac:dyDescent="0.2">
      <c r="A120" s="36" t="s">
        <v>258</v>
      </c>
    </row>
    <row r="121" spans="1:1" ht="15.75" customHeight="1" x14ac:dyDescent="0.2">
      <c r="A121" s="36"/>
    </row>
    <row r="122" spans="1:1" ht="15.75" customHeight="1" x14ac:dyDescent="0.2">
      <c r="A122" s="36" t="s">
        <v>259</v>
      </c>
    </row>
    <row r="123" spans="1:1" ht="15.75" customHeight="1" x14ac:dyDescent="0.2">
      <c r="A123" s="36" t="s">
        <v>260</v>
      </c>
    </row>
    <row r="124" spans="1:1" ht="15.75" customHeight="1" x14ac:dyDescent="0.2">
      <c r="A124" s="36" t="s">
        <v>261</v>
      </c>
    </row>
    <row r="125" spans="1:1" ht="15.75" customHeight="1" x14ac:dyDescent="0.2">
      <c r="A125" s="36" t="s">
        <v>262</v>
      </c>
    </row>
    <row r="126" spans="1:1" ht="15.75" customHeight="1" x14ac:dyDescent="0.2">
      <c r="A126" s="36" t="s">
        <v>263</v>
      </c>
    </row>
    <row r="127" spans="1:1" ht="15.75" customHeight="1" x14ac:dyDescent="0.2">
      <c r="A127" s="36" t="s">
        <v>264</v>
      </c>
    </row>
    <row r="128" spans="1:1" ht="15.75" customHeight="1" x14ac:dyDescent="0.2">
      <c r="A128" s="36"/>
    </row>
    <row r="129" spans="1:1" ht="15.75" customHeight="1" x14ac:dyDescent="0.2">
      <c r="A129" s="36" t="s">
        <v>265</v>
      </c>
    </row>
    <row r="130" spans="1:1" ht="15.75" customHeight="1" x14ac:dyDescent="0.2">
      <c r="A130" s="36" t="s">
        <v>266</v>
      </c>
    </row>
    <row r="131" spans="1:1" ht="15.75" customHeight="1" x14ac:dyDescent="0.2">
      <c r="A131" s="36" t="s">
        <v>267</v>
      </c>
    </row>
    <row r="132" spans="1:1" ht="15.75" customHeight="1" x14ac:dyDescent="0.2">
      <c r="A132" s="36" t="s">
        <v>268</v>
      </c>
    </row>
    <row r="133" spans="1:1" ht="15.75" customHeight="1" x14ac:dyDescent="0.2">
      <c r="A133" s="36" t="s">
        <v>269</v>
      </c>
    </row>
    <row r="134" spans="1:1" ht="15.75" customHeight="1" x14ac:dyDescent="0.2">
      <c r="A134" s="36" t="s">
        <v>270</v>
      </c>
    </row>
    <row r="135" spans="1:1" ht="15.75" customHeight="1" x14ac:dyDescent="0.2">
      <c r="A135" s="36"/>
    </row>
    <row r="136" spans="1:1" ht="15.75" customHeight="1" x14ac:dyDescent="0.2">
      <c r="A136" s="36" t="s">
        <v>271</v>
      </c>
    </row>
    <row r="137" spans="1:1" ht="15.75" customHeight="1" x14ac:dyDescent="0.2">
      <c r="A137" s="36" t="s">
        <v>272</v>
      </c>
    </row>
    <row r="138" spans="1:1" ht="15.75" customHeight="1" x14ac:dyDescent="0.2">
      <c r="A138" s="36" t="s">
        <v>273</v>
      </c>
    </row>
    <row r="139" spans="1:1" ht="15.75" customHeight="1" x14ac:dyDescent="0.2">
      <c r="A139" s="36" t="s">
        <v>274</v>
      </c>
    </row>
    <row r="140" spans="1:1" ht="15.75" customHeight="1" x14ac:dyDescent="0.2">
      <c r="A140" s="36" t="s">
        <v>275</v>
      </c>
    </row>
    <row r="141" spans="1:1" ht="15.75" customHeight="1" x14ac:dyDescent="0.2">
      <c r="A141" s="36" t="s">
        <v>276</v>
      </c>
    </row>
    <row r="142" spans="1:1" ht="15.75" customHeight="1" x14ac:dyDescent="0.2">
      <c r="A142" s="36"/>
    </row>
    <row r="143" spans="1:1" ht="15.75" customHeight="1" x14ac:dyDescent="0.2">
      <c r="A143" s="36" t="s">
        <v>277</v>
      </c>
    </row>
    <row r="144" spans="1:1" ht="15.75" customHeight="1" x14ac:dyDescent="0.2">
      <c r="A144" s="36" t="s">
        <v>278</v>
      </c>
    </row>
    <row r="145" spans="1:1" ht="15.75" customHeight="1" x14ac:dyDescent="0.2">
      <c r="A145" s="36" t="s">
        <v>273</v>
      </c>
    </row>
    <row r="146" spans="1:1" ht="15.75" customHeight="1" x14ac:dyDescent="0.2">
      <c r="A146" s="36" t="s">
        <v>279</v>
      </c>
    </row>
    <row r="147" spans="1:1" ht="15.75" customHeight="1" x14ac:dyDescent="0.2">
      <c r="A147" s="36" t="s">
        <v>280</v>
      </c>
    </row>
    <row r="148" spans="1:1" ht="15.75" customHeight="1" x14ac:dyDescent="0.2">
      <c r="A148" s="36" t="s">
        <v>281</v>
      </c>
    </row>
    <row r="149" spans="1:1" ht="15.75" customHeight="1" x14ac:dyDescent="0.2">
      <c r="A149" s="36"/>
    </row>
    <row r="150" spans="1:1" ht="15.75" customHeight="1" x14ac:dyDescent="0.2">
      <c r="A150" s="36" t="s">
        <v>282</v>
      </c>
    </row>
    <row r="151" spans="1:1" ht="15.75" customHeight="1" x14ac:dyDescent="0.2">
      <c r="A151" s="36" t="s">
        <v>278</v>
      </c>
    </row>
    <row r="152" spans="1:1" ht="15.75" customHeight="1" x14ac:dyDescent="0.2">
      <c r="A152" s="36" t="s">
        <v>273</v>
      </c>
    </row>
    <row r="153" spans="1:1" ht="15.75" customHeight="1" x14ac:dyDescent="0.2">
      <c r="A153" s="36" t="s">
        <v>279</v>
      </c>
    </row>
    <row r="154" spans="1:1" ht="15.75" customHeight="1" x14ac:dyDescent="0.2">
      <c r="A154" s="36" t="s">
        <v>280</v>
      </c>
    </row>
    <row r="155" spans="1:1" ht="15.75" customHeight="1" x14ac:dyDescent="0.2">
      <c r="A155" s="36" t="s">
        <v>281</v>
      </c>
    </row>
    <row r="156" spans="1:1" ht="15.75" customHeight="1" x14ac:dyDescent="0.2">
      <c r="A156" s="36"/>
    </row>
    <row r="157" spans="1:1" ht="15.75" customHeight="1" x14ac:dyDescent="0.2">
      <c r="A157" s="36" t="s">
        <v>283</v>
      </c>
    </row>
    <row r="158" spans="1:1" ht="15.75" customHeight="1" x14ac:dyDescent="0.2">
      <c r="A158" s="36" t="s">
        <v>284</v>
      </c>
    </row>
    <row r="159" spans="1:1" ht="15.75" customHeight="1" x14ac:dyDescent="0.2">
      <c r="A159" s="36" t="s">
        <v>285</v>
      </c>
    </row>
    <row r="160" spans="1:1" ht="15.75" customHeight="1" x14ac:dyDescent="0.2">
      <c r="A160" s="36" t="s">
        <v>286</v>
      </c>
    </row>
    <row r="161" spans="1:1" ht="15.75" customHeight="1" x14ac:dyDescent="0.2">
      <c r="A161" s="36" t="s">
        <v>287</v>
      </c>
    </row>
    <row r="162" spans="1:1" ht="15.75" customHeight="1" x14ac:dyDescent="0.2">
      <c r="A162" s="36" t="s">
        <v>288</v>
      </c>
    </row>
    <row r="163" spans="1:1" ht="15.75" customHeight="1" x14ac:dyDescent="0.2">
      <c r="A163" s="36"/>
    </row>
    <row r="164" spans="1:1" ht="15.75" customHeight="1" x14ac:dyDescent="0.2">
      <c r="A164" s="36" t="s">
        <v>289</v>
      </c>
    </row>
    <row r="165" spans="1:1" ht="15.75" customHeight="1" x14ac:dyDescent="0.2">
      <c r="A165" s="36" t="s">
        <v>290</v>
      </c>
    </row>
    <row r="166" spans="1:1" ht="15.75" customHeight="1" x14ac:dyDescent="0.2">
      <c r="A166" s="36" t="s">
        <v>291</v>
      </c>
    </row>
    <row r="167" spans="1:1" ht="15.75" customHeight="1" x14ac:dyDescent="0.2">
      <c r="A167" s="36" t="s">
        <v>292</v>
      </c>
    </row>
    <row r="168" spans="1:1" ht="15.75" customHeight="1" x14ac:dyDescent="0.2">
      <c r="A168" s="36" t="s">
        <v>293</v>
      </c>
    </row>
    <row r="169" spans="1:1" ht="15.75" customHeight="1" x14ac:dyDescent="0.2">
      <c r="A169" s="36" t="s">
        <v>294</v>
      </c>
    </row>
    <row r="170" spans="1:1" ht="15.75" customHeight="1" x14ac:dyDescent="0.2">
      <c r="A170" s="36"/>
    </row>
    <row r="171" spans="1:1" ht="15.75" customHeight="1" x14ac:dyDescent="0.2">
      <c r="A171" s="36" t="s">
        <v>295</v>
      </c>
    </row>
    <row r="172" spans="1:1" ht="15.75" customHeight="1" x14ac:dyDescent="0.2">
      <c r="A172" s="36"/>
    </row>
    <row r="173" spans="1:1" ht="15.75" customHeight="1" x14ac:dyDescent="0.2">
      <c r="A173" s="36" t="s">
        <v>296</v>
      </c>
    </row>
    <row r="174" spans="1:1" ht="15.75" customHeight="1" x14ac:dyDescent="0.2">
      <c r="A174" s="36"/>
    </row>
    <row r="175" spans="1:1" ht="15.75" customHeight="1" x14ac:dyDescent="0.2">
      <c r="A175" s="36" t="s">
        <v>296</v>
      </c>
    </row>
    <row r="176" spans="1:1" ht="15.75" customHeight="1" x14ac:dyDescent="0.2">
      <c r="A176" s="36"/>
    </row>
    <row r="177" spans="1:1" ht="15.75" customHeight="1" x14ac:dyDescent="0.2">
      <c r="A177" s="36" t="s">
        <v>297</v>
      </c>
    </row>
    <row r="178" spans="1:1" ht="15.75" customHeight="1" x14ac:dyDescent="0.2">
      <c r="A178" s="36"/>
    </row>
    <row r="179" spans="1:1" ht="15.75" customHeight="1" x14ac:dyDescent="0.2">
      <c r="A179" s="36" t="s">
        <v>298</v>
      </c>
    </row>
    <row r="180" spans="1:1" ht="15.75" customHeight="1" x14ac:dyDescent="0.2">
      <c r="A180" s="36" t="s">
        <v>299</v>
      </c>
    </row>
    <row r="181" spans="1:1" ht="15.75" customHeight="1" x14ac:dyDescent="0.2">
      <c r="A181" s="36" t="s">
        <v>300</v>
      </c>
    </row>
    <row r="182" spans="1:1" ht="15.75" customHeight="1" x14ac:dyDescent="0.2">
      <c r="A182" s="36" t="s">
        <v>301</v>
      </c>
    </row>
    <row r="183" spans="1:1" ht="15.75" customHeight="1" x14ac:dyDescent="0.2">
      <c r="A183" s="36" t="s">
        <v>302</v>
      </c>
    </row>
    <row r="184" spans="1:1" ht="15.75" customHeight="1" x14ac:dyDescent="0.2">
      <c r="A184" s="36" t="s">
        <v>303</v>
      </c>
    </row>
    <row r="185" spans="1:1" ht="15.75" customHeight="1" x14ac:dyDescent="0.2">
      <c r="A185" s="36" t="s">
        <v>304</v>
      </c>
    </row>
    <row r="186" spans="1:1" ht="15.75" customHeight="1" x14ac:dyDescent="0.2">
      <c r="A186" s="36" t="s">
        <v>305</v>
      </c>
    </row>
    <row r="187" spans="1:1" ht="15.75" customHeight="1" x14ac:dyDescent="0.2">
      <c r="A187" s="36"/>
    </row>
    <row r="188" spans="1:1" ht="15.75" customHeight="1" x14ac:dyDescent="0.2">
      <c r="A188" s="36" t="s">
        <v>306</v>
      </c>
    </row>
    <row r="189" spans="1:1" ht="15.75" customHeight="1" x14ac:dyDescent="0.2">
      <c r="A189" s="36" t="s">
        <v>307</v>
      </c>
    </row>
    <row r="190" spans="1:1" ht="15.75" customHeight="1" x14ac:dyDescent="0.2">
      <c r="A190" s="36" t="s">
        <v>308</v>
      </c>
    </row>
    <row r="191" spans="1:1" ht="15.75" customHeight="1" x14ac:dyDescent="0.2">
      <c r="A191" s="36" t="s">
        <v>309</v>
      </c>
    </row>
    <row r="192" spans="1:1" ht="15.75" customHeight="1" x14ac:dyDescent="0.2">
      <c r="A192" s="36"/>
    </row>
    <row r="193" spans="1:1" ht="15.75" customHeight="1" x14ac:dyDescent="0.2">
      <c r="A193" s="36" t="s">
        <v>310</v>
      </c>
    </row>
    <row r="194" spans="1:1" ht="15.75" customHeight="1" x14ac:dyDescent="0.2">
      <c r="A194" s="36" t="s">
        <v>311</v>
      </c>
    </row>
    <row r="195" spans="1:1" ht="15.75" customHeight="1" x14ac:dyDescent="0.2">
      <c r="A195" s="36" t="s">
        <v>312</v>
      </c>
    </row>
    <row r="196" spans="1:1" ht="15.75" customHeight="1" x14ac:dyDescent="0.2">
      <c r="A196" s="36"/>
    </row>
    <row r="197" spans="1:1" ht="15.75" customHeight="1" x14ac:dyDescent="0.2">
      <c r="A197" s="36" t="s">
        <v>313</v>
      </c>
    </row>
    <row r="198" spans="1:1" ht="15.75" customHeight="1" x14ac:dyDescent="0.2">
      <c r="A198" s="36" t="s">
        <v>314</v>
      </c>
    </row>
    <row r="199" spans="1:1" ht="15.75" customHeight="1" x14ac:dyDescent="0.2">
      <c r="A199" s="36" t="s">
        <v>315</v>
      </c>
    </row>
    <row r="200" spans="1:1" ht="15.75" customHeight="1" x14ac:dyDescent="0.2">
      <c r="A200" s="36"/>
    </row>
    <row r="201" spans="1:1" ht="15.75" customHeight="1" x14ac:dyDescent="0.2">
      <c r="A201" s="36" t="s">
        <v>316</v>
      </c>
    </row>
    <row r="202" spans="1:1" ht="15.75" customHeight="1" x14ac:dyDescent="0.2">
      <c r="A202" s="36"/>
    </row>
    <row r="203" spans="1:1" ht="15.75" customHeight="1" x14ac:dyDescent="0.2">
      <c r="A203" s="36" t="s">
        <v>317</v>
      </c>
    </row>
    <row r="204" spans="1:1" ht="15.75" customHeight="1" x14ac:dyDescent="0.2">
      <c r="A204" s="36" t="s">
        <v>318</v>
      </c>
    </row>
    <row r="205" spans="1:1" ht="15.75" customHeight="1" x14ac:dyDescent="0.2">
      <c r="A205" s="36" t="s">
        <v>319</v>
      </c>
    </row>
    <row r="206" spans="1:1" ht="15.75" customHeight="1" x14ac:dyDescent="0.2">
      <c r="A206" s="36" t="s">
        <v>320</v>
      </c>
    </row>
    <row r="207" spans="1:1" ht="15.75" customHeight="1" x14ac:dyDescent="0.2">
      <c r="A207" s="36" t="s">
        <v>321</v>
      </c>
    </row>
    <row r="208" spans="1:1" ht="15.75" customHeight="1" x14ac:dyDescent="0.2">
      <c r="A208" s="36" t="s">
        <v>322</v>
      </c>
    </row>
    <row r="209" spans="1:1" ht="15.75" customHeight="1" x14ac:dyDescent="0.2">
      <c r="A209" s="36" t="s">
        <v>323</v>
      </c>
    </row>
    <row r="210" spans="1:1" ht="15.75" customHeight="1" x14ac:dyDescent="0.2">
      <c r="A210" s="36"/>
    </row>
    <row r="211" spans="1:1" ht="15.75" customHeight="1" x14ac:dyDescent="0.2">
      <c r="A211" s="36" t="s">
        <v>324</v>
      </c>
    </row>
    <row r="212" spans="1:1" ht="15.75" customHeight="1" x14ac:dyDescent="0.2">
      <c r="A212" s="36" t="s">
        <v>325</v>
      </c>
    </row>
    <row r="213" spans="1:1" ht="15.75" customHeight="1" x14ac:dyDescent="0.2">
      <c r="A213" s="36" t="s">
        <v>326</v>
      </c>
    </row>
    <row r="214" spans="1:1" ht="15.75" customHeight="1" x14ac:dyDescent="0.2">
      <c r="A214" s="36" t="s">
        <v>327</v>
      </c>
    </row>
    <row r="215" spans="1:1" ht="15.75" customHeight="1" x14ac:dyDescent="0.2">
      <c r="A215" s="36" t="s">
        <v>328</v>
      </c>
    </row>
    <row r="216" spans="1:1" ht="15.75" customHeight="1" x14ac:dyDescent="0.2">
      <c r="A216" s="36" t="s">
        <v>329</v>
      </c>
    </row>
    <row r="217" spans="1:1" ht="15.75" customHeight="1" x14ac:dyDescent="0.2">
      <c r="A217" s="36" t="s">
        <v>330</v>
      </c>
    </row>
    <row r="218" spans="1:1" ht="15.75" customHeight="1" x14ac:dyDescent="0.2">
      <c r="A218" s="36" t="s">
        <v>331</v>
      </c>
    </row>
    <row r="219" spans="1:1" ht="15.75" customHeight="1" x14ac:dyDescent="0.2">
      <c r="A219" s="36"/>
    </row>
    <row r="220" spans="1:1" ht="15.75" customHeight="1" x14ac:dyDescent="0.2">
      <c r="A220" s="36" t="s">
        <v>332</v>
      </c>
    </row>
    <row r="221" spans="1:1" ht="15.75" customHeight="1" x14ac:dyDescent="0.2">
      <c r="A221" s="36" t="s">
        <v>333</v>
      </c>
    </row>
    <row r="222" spans="1:1" ht="15.75" customHeight="1" x14ac:dyDescent="0.2">
      <c r="A222" s="36" t="s">
        <v>334</v>
      </c>
    </row>
    <row r="223" spans="1:1" ht="15.75" customHeight="1" x14ac:dyDescent="0.2">
      <c r="A223" s="36" t="s">
        <v>335</v>
      </c>
    </row>
    <row r="224" spans="1:1" ht="15.75" customHeight="1" x14ac:dyDescent="0.2">
      <c r="A224" s="36" t="s">
        <v>336</v>
      </c>
    </row>
    <row r="225" spans="1:1" ht="15.75" customHeight="1" x14ac:dyDescent="0.2">
      <c r="A225" s="36" t="s">
        <v>337</v>
      </c>
    </row>
    <row r="226" spans="1:1" ht="15.75" customHeight="1" x14ac:dyDescent="0.2">
      <c r="A226" s="36" t="s">
        <v>338</v>
      </c>
    </row>
    <row r="227" spans="1:1" ht="15.75" customHeight="1" x14ac:dyDescent="0.2">
      <c r="A227" s="36" t="s">
        <v>339</v>
      </c>
    </row>
    <row r="228" spans="1:1" ht="15.75" customHeight="1" x14ac:dyDescent="0.2">
      <c r="A228" s="36" t="s">
        <v>340</v>
      </c>
    </row>
    <row r="229" spans="1:1" ht="15.75" customHeight="1" x14ac:dyDescent="0.2">
      <c r="A229" s="36"/>
    </row>
    <row r="230" spans="1:1" ht="15.75" customHeight="1" x14ac:dyDescent="0.2">
      <c r="A230" s="36" t="s">
        <v>341</v>
      </c>
    </row>
    <row r="231" spans="1:1" ht="15.75" customHeight="1" x14ac:dyDescent="0.2">
      <c r="A231" s="36" t="s">
        <v>342</v>
      </c>
    </row>
    <row r="232" spans="1:1" ht="15.75" customHeight="1" x14ac:dyDescent="0.2">
      <c r="A232" s="36" t="s">
        <v>343</v>
      </c>
    </row>
    <row r="233" spans="1:1" ht="15.75" customHeight="1" x14ac:dyDescent="0.2">
      <c r="A233" s="36" t="s">
        <v>344</v>
      </c>
    </row>
    <row r="234" spans="1:1" ht="15.75" customHeight="1" x14ac:dyDescent="0.2">
      <c r="A234" s="36" t="s">
        <v>345</v>
      </c>
    </row>
    <row r="235" spans="1:1" ht="15.75" customHeight="1" x14ac:dyDescent="0.2">
      <c r="A235" s="36" t="s">
        <v>346</v>
      </c>
    </row>
    <row r="236" spans="1:1" ht="15.75" customHeight="1" x14ac:dyDescent="0.2">
      <c r="A236" s="36"/>
    </row>
    <row r="237" spans="1:1" ht="15.75" customHeight="1" x14ac:dyDescent="0.2">
      <c r="A237" s="36" t="s">
        <v>347</v>
      </c>
    </row>
    <row r="238" spans="1:1" ht="15.75" customHeight="1" x14ac:dyDescent="0.2">
      <c r="A238" s="36" t="s">
        <v>348</v>
      </c>
    </row>
    <row r="239" spans="1:1" ht="15.75" customHeight="1" x14ac:dyDescent="0.2">
      <c r="A239" s="36" t="s">
        <v>349</v>
      </c>
    </row>
    <row r="240" spans="1:1" ht="15.75" customHeight="1" x14ac:dyDescent="0.2">
      <c r="A240" s="36" t="s">
        <v>350</v>
      </c>
    </row>
    <row r="241" spans="1:1" ht="15.75" customHeight="1" x14ac:dyDescent="0.2">
      <c r="A241" s="36" t="s">
        <v>351</v>
      </c>
    </row>
    <row r="242" spans="1:1" ht="15.75" customHeight="1" x14ac:dyDescent="0.2">
      <c r="A242" s="36" t="s">
        <v>352</v>
      </c>
    </row>
    <row r="243" spans="1:1" ht="15.75" customHeight="1" x14ac:dyDescent="0.2">
      <c r="A243" s="36"/>
    </row>
    <row r="244" spans="1:1" ht="15.75" customHeight="1" x14ac:dyDescent="0.2">
      <c r="A244" s="36" t="s">
        <v>353</v>
      </c>
    </row>
    <row r="245" spans="1:1" ht="15.75" customHeight="1" x14ac:dyDescent="0.2">
      <c r="A245" s="36" t="s">
        <v>354</v>
      </c>
    </row>
    <row r="246" spans="1:1" ht="15.75" customHeight="1" x14ac:dyDescent="0.2">
      <c r="A246" s="36" t="s">
        <v>355</v>
      </c>
    </row>
    <row r="247" spans="1:1" ht="15.75" customHeight="1" x14ac:dyDescent="0.2">
      <c r="A247" s="36" t="s">
        <v>356</v>
      </c>
    </row>
    <row r="248" spans="1:1" ht="15.75" customHeight="1" x14ac:dyDescent="0.2">
      <c r="A248" s="36" t="s">
        <v>357</v>
      </c>
    </row>
    <row r="249" spans="1:1" ht="15.75" customHeight="1" x14ac:dyDescent="0.2">
      <c r="A249" s="36" t="s">
        <v>358</v>
      </c>
    </row>
    <row r="250" spans="1:1" ht="15.75" customHeight="1" x14ac:dyDescent="0.2">
      <c r="A250" s="36"/>
    </row>
    <row r="251" spans="1:1" ht="15.75" customHeight="1" x14ac:dyDescent="0.2">
      <c r="A251" s="36" t="s">
        <v>359</v>
      </c>
    </row>
    <row r="252" spans="1:1" ht="15.75" customHeight="1" x14ac:dyDescent="0.2">
      <c r="A252" s="36" t="s">
        <v>360</v>
      </c>
    </row>
    <row r="253" spans="1:1" ht="15.75" customHeight="1" x14ac:dyDescent="0.2">
      <c r="A253" s="36" t="s">
        <v>361</v>
      </c>
    </row>
    <row r="254" spans="1:1" ht="15.75" customHeight="1" x14ac:dyDescent="0.2">
      <c r="A254" s="36" t="s">
        <v>362</v>
      </c>
    </row>
    <row r="255" spans="1:1" ht="15.75" customHeight="1" x14ac:dyDescent="0.2">
      <c r="A255" s="36" t="s">
        <v>363</v>
      </c>
    </row>
    <row r="256" spans="1:1" ht="15.75" customHeight="1" x14ac:dyDescent="0.2">
      <c r="A256" s="36" t="s">
        <v>364</v>
      </c>
    </row>
    <row r="257" spans="1:1" ht="15.75" customHeight="1" x14ac:dyDescent="0.2">
      <c r="A257" s="36"/>
    </row>
    <row r="258" spans="1:1" ht="15.75" customHeight="1" x14ac:dyDescent="0.2">
      <c r="A258" s="36" t="s">
        <v>365</v>
      </c>
    </row>
    <row r="259" spans="1:1" ht="15.75" customHeight="1" x14ac:dyDescent="0.2">
      <c r="A259" s="36"/>
    </row>
    <row r="260" spans="1:1" ht="15.75" customHeight="1" x14ac:dyDescent="0.2">
      <c r="A260" s="36" t="s">
        <v>366</v>
      </c>
    </row>
    <row r="261" spans="1:1" ht="15.75" customHeight="1" x14ac:dyDescent="0.2">
      <c r="A261" s="36" t="s">
        <v>367</v>
      </c>
    </row>
    <row r="262" spans="1:1" ht="15.75" customHeight="1" x14ac:dyDescent="0.2">
      <c r="A262" s="36" t="s">
        <v>366</v>
      </c>
    </row>
    <row r="263" spans="1:1" ht="15.75" customHeight="1" x14ac:dyDescent="0.2">
      <c r="A263" s="36" t="s">
        <v>367</v>
      </c>
    </row>
    <row r="264" spans="1:1" ht="15.75" customHeight="1" x14ac:dyDescent="0.2">
      <c r="A264" s="36" t="s">
        <v>368</v>
      </c>
    </row>
    <row r="265" spans="1:1" ht="15.75" customHeight="1" x14ac:dyDescent="0.2">
      <c r="A265" s="36" t="s">
        <v>369</v>
      </c>
    </row>
    <row r="266" spans="1:1" ht="15.75" customHeight="1" x14ac:dyDescent="0.2">
      <c r="A266" s="36"/>
    </row>
    <row r="267" spans="1:1" ht="15.75" customHeight="1" x14ac:dyDescent="0.2">
      <c r="A267" s="36" t="s">
        <v>370</v>
      </c>
    </row>
    <row r="268" spans="1:1" ht="15.75" customHeight="1" x14ac:dyDescent="0.2">
      <c r="A268" s="36"/>
    </row>
    <row r="269" spans="1:1" ht="15.75" customHeight="1" x14ac:dyDescent="0.2">
      <c r="A269" s="36" t="s">
        <v>371</v>
      </c>
    </row>
    <row r="270" spans="1:1" ht="15.75" customHeight="1" x14ac:dyDescent="0.2">
      <c r="A270" s="36" t="s">
        <v>372</v>
      </c>
    </row>
    <row r="271" spans="1:1" ht="15.75" customHeight="1" x14ac:dyDescent="0.2">
      <c r="A271" s="36" t="s">
        <v>373</v>
      </c>
    </row>
    <row r="272" spans="1:1" ht="15.75" customHeight="1" x14ac:dyDescent="0.2">
      <c r="A272" s="36" t="s">
        <v>374</v>
      </c>
    </row>
    <row r="273" spans="1:1" ht="15.75" customHeight="1" x14ac:dyDescent="0.2">
      <c r="A273" s="36" t="s">
        <v>375</v>
      </c>
    </row>
    <row r="274" spans="1:1" ht="15.75" customHeight="1" x14ac:dyDescent="0.2">
      <c r="A274" s="36"/>
    </row>
    <row r="275" spans="1:1" ht="15.75" customHeight="1" x14ac:dyDescent="0.2">
      <c r="A275" s="36" t="s">
        <v>376</v>
      </c>
    </row>
    <row r="276" spans="1:1" ht="15.75" customHeight="1" x14ac:dyDescent="0.2">
      <c r="A276" s="36"/>
    </row>
    <row r="277" spans="1:1" ht="15.75" customHeight="1" x14ac:dyDescent="0.2">
      <c r="A277" s="36" t="s">
        <v>377</v>
      </c>
    </row>
    <row r="278" spans="1:1" ht="15.75" customHeight="1" x14ac:dyDescent="0.2">
      <c r="A278" s="36"/>
    </row>
    <row r="279" spans="1:1" ht="15.75" customHeight="1" x14ac:dyDescent="0.2">
      <c r="A279" s="36" t="s">
        <v>378</v>
      </c>
    </row>
    <row r="280" spans="1:1" ht="15.75" customHeight="1" x14ac:dyDescent="0.2">
      <c r="A280" s="36"/>
    </row>
    <row r="281" spans="1:1" ht="15.75" customHeight="1" x14ac:dyDescent="0.2">
      <c r="A281" s="36" t="s">
        <v>379</v>
      </c>
    </row>
    <row r="282" spans="1:1" ht="15.75" customHeight="1" x14ac:dyDescent="0.2">
      <c r="A282" s="36" t="s">
        <v>380</v>
      </c>
    </row>
    <row r="283" spans="1:1" ht="15.75" customHeight="1" x14ac:dyDescent="0.2">
      <c r="A283" s="36" t="s">
        <v>381</v>
      </c>
    </row>
    <row r="284" spans="1:1" ht="15.75" customHeight="1" x14ac:dyDescent="0.2">
      <c r="A284" s="36"/>
    </row>
    <row r="285" spans="1:1" ht="15.75" customHeight="1" x14ac:dyDescent="0.2">
      <c r="A285" s="36" t="s">
        <v>382</v>
      </c>
    </row>
    <row r="286" spans="1:1" ht="15.75" customHeight="1" x14ac:dyDescent="0.2">
      <c r="A286" s="36" t="s">
        <v>383</v>
      </c>
    </row>
    <row r="287" spans="1:1" ht="15.75" customHeight="1" x14ac:dyDescent="0.2">
      <c r="A287" s="36" t="s">
        <v>384</v>
      </c>
    </row>
    <row r="288" spans="1:1" ht="15.75" customHeight="1" x14ac:dyDescent="0.2">
      <c r="A288" s="36" t="s">
        <v>385</v>
      </c>
    </row>
    <row r="289" spans="1:1" ht="15.75" customHeight="1" x14ac:dyDescent="0.2">
      <c r="A289" s="36"/>
    </row>
    <row r="290" spans="1:1" ht="15.75" customHeight="1" x14ac:dyDescent="0.2">
      <c r="A290" s="36" t="s">
        <v>386</v>
      </c>
    </row>
    <row r="291" spans="1:1" ht="15.75" customHeight="1" x14ac:dyDescent="0.2">
      <c r="A291" s="36" t="s">
        <v>387</v>
      </c>
    </row>
    <row r="292" spans="1:1" ht="15.75" customHeight="1" x14ac:dyDescent="0.2">
      <c r="A292" s="36" t="s">
        <v>388</v>
      </c>
    </row>
    <row r="293" spans="1:1" ht="15.75" customHeight="1" x14ac:dyDescent="0.2">
      <c r="A293" s="36" t="s">
        <v>389</v>
      </c>
    </row>
    <row r="294" spans="1:1" ht="15.75" customHeight="1" x14ac:dyDescent="0.2">
      <c r="A294" s="36" t="s">
        <v>390</v>
      </c>
    </row>
    <row r="295" spans="1:1" ht="15.75" customHeight="1" x14ac:dyDescent="0.2">
      <c r="A295" s="36"/>
    </row>
    <row r="296" spans="1:1" ht="15.75" customHeight="1" x14ac:dyDescent="0.2">
      <c r="A296" s="36" t="s">
        <v>391</v>
      </c>
    </row>
    <row r="297" spans="1:1" ht="15.75" customHeight="1" x14ac:dyDescent="0.2">
      <c r="A297" s="36"/>
    </row>
    <row r="298" spans="1:1" ht="15.75" customHeight="1" x14ac:dyDescent="0.2">
      <c r="A298" s="36" t="s">
        <v>392</v>
      </c>
    </row>
    <row r="299" spans="1:1" ht="15.75" customHeight="1" x14ac:dyDescent="0.2">
      <c r="A299" s="36" t="s">
        <v>393</v>
      </c>
    </row>
    <row r="300" spans="1:1" ht="15.75" customHeight="1" x14ac:dyDescent="0.2">
      <c r="A300" s="36" t="s">
        <v>394</v>
      </c>
    </row>
    <row r="301" spans="1:1" ht="15.75" customHeight="1" x14ac:dyDescent="0.2">
      <c r="A301" s="36" t="s">
        <v>395</v>
      </c>
    </row>
    <row r="302" spans="1:1" ht="15.75" customHeight="1" x14ac:dyDescent="0.2">
      <c r="A302" s="36" t="s">
        <v>396</v>
      </c>
    </row>
    <row r="303" spans="1:1" ht="15.75" customHeight="1" x14ac:dyDescent="0.2">
      <c r="A303" s="36" t="s">
        <v>397</v>
      </c>
    </row>
    <row r="304" spans="1:1" ht="15.75" customHeight="1" x14ac:dyDescent="0.2">
      <c r="A304" s="36" t="s">
        <v>398</v>
      </c>
    </row>
    <row r="305" spans="1:1" ht="15.75" customHeight="1" x14ac:dyDescent="0.2">
      <c r="A305" s="36" t="s">
        <v>399</v>
      </c>
    </row>
    <row r="306" spans="1:1" ht="15.75" customHeight="1" x14ac:dyDescent="0.2">
      <c r="A306" s="36" t="s">
        <v>400</v>
      </c>
    </row>
    <row r="307" spans="1:1" ht="15.75" customHeight="1" x14ac:dyDescent="0.2">
      <c r="A307" s="36" t="s">
        <v>401</v>
      </c>
    </row>
    <row r="308" spans="1:1" ht="15.75" customHeight="1" x14ac:dyDescent="0.2">
      <c r="A308" s="36"/>
    </row>
    <row r="309" spans="1:1" ht="15.75" customHeight="1" x14ac:dyDescent="0.2">
      <c r="A309" s="36" t="s">
        <v>402</v>
      </c>
    </row>
    <row r="310" spans="1:1" ht="15.75" customHeight="1" x14ac:dyDescent="0.2">
      <c r="A310" s="36"/>
    </row>
    <row r="311" spans="1:1" ht="15.75" customHeight="1" x14ac:dyDescent="0.2">
      <c r="A311" s="36" t="s">
        <v>403</v>
      </c>
    </row>
    <row r="312" spans="1:1" ht="15.75" customHeight="1" x14ac:dyDescent="0.2">
      <c r="A312" s="36" t="s">
        <v>404</v>
      </c>
    </row>
    <row r="313" spans="1:1" ht="15.75" customHeight="1" x14ac:dyDescent="0.2">
      <c r="A313" s="36" t="s">
        <v>405</v>
      </c>
    </row>
    <row r="314" spans="1:1" ht="15.75" customHeight="1" x14ac:dyDescent="0.2">
      <c r="A314" s="36" t="s">
        <v>406</v>
      </c>
    </row>
    <row r="315" spans="1:1" ht="15.75" customHeight="1" x14ac:dyDescent="0.2">
      <c r="A315" s="36" t="s">
        <v>407</v>
      </c>
    </row>
    <row r="316" spans="1:1" ht="15.75" customHeight="1" x14ac:dyDescent="0.2">
      <c r="A316" s="36" t="s">
        <v>408</v>
      </c>
    </row>
    <row r="317" spans="1:1" ht="15.75" customHeight="1" x14ac:dyDescent="0.2">
      <c r="A317" s="36" t="s">
        <v>409</v>
      </c>
    </row>
    <row r="318" spans="1:1" ht="15.75" customHeight="1" x14ac:dyDescent="0.2">
      <c r="A318" s="36" t="s">
        <v>410</v>
      </c>
    </row>
    <row r="319" spans="1:1" ht="15.75" customHeight="1" x14ac:dyDescent="0.2">
      <c r="A319" s="36" t="s">
        <v>411</v>
      </c>
    </row>
    <row r="320" spans="1:1" ht="15.75" customHeight="1" x14ac:dyDescent="0.2">
      <c r="A320" s="36" t="s">
        <v>412</v>
      </c>
    </row>
    <row r="321" spans="1:1" ht="15.75" customHeight="1" x14ac:dyDescent="0.2">
      <c r="A321" s="36" t="s">
        <v>413</v>
      </c>
    </row>
    <row r="322" spans="1:1" ht="15.75" customHeight="1" x14ac:dyDescent="0.2">
      <c r="A322" s="36" t="s">
        <v>414</v>
      </c>
    </row>
    <row r="323" spans="1:1" ht="15.75" customHeight="1" x14ac:dyDescent="0.2">
      <c r="A323" s="36" t="s">
        <v>415</v>
      </c>
    </row>
    <row r="324" spans="1:1" ht="15.75" customHeight="1" x14ac:dyDescent="0.2">
      <c r="A324" s="36" t="s">
        <v>416</v>
      </c>
    </row>
    <row r="325" spans="1:1" ht="15.75" customHeight="1" x14ac:dyDescent="0.2">
      <c r="A325" s="36"/>
    </row>
    <row r="326" spans="1:1" ht="15.75" customHeight="1" x14ac:dyDescent="0.2">
      <c r="A326" s="36" t="s">
        <v>417</v>
      </c>
    </row>
    <row r="327" spans="1:1" ht="15.75" customHeight="1" x14ac:dyDescent="0.2">
      <c r="A327" s="36"/>
    </row>
    <row r="328" spans="1:1" ht="15.75" customHeight="1" x14ac:dyDescent="0.2">
      <c r="A328" s="36" t="s">
        <v>418</v>
      </c>
    </row>
    <row r="329" spans="1:1" ht="15.75" customHeight="1" x14ac:dyDescent="0.2">
      <c r="A329" s="36" t="s">
        <v>419</v>
      </c>
    </row>
    <row r="330" spans="1:1" ht="15.75" customHeight="1" x14ac:dyDescent="0.2">
      <c r="A330" s="36" t="s">
        <v>420</v>
      </c>
    </row>
    <row r="331" spans="1:1" ht="15.75" customHeight="1" x14ac:dyDescent="0.2">
      <c r="A331" s="36"/>
    </row>
    <row r="332" spans="1:1" ht="15.75" customHeight="1" x14ac:dyDescent="0.2">
      <c r="A332" s="36" t="s">
        <v>421</v>
      </c>
    </row>
    <row r="333" spans="1:1" ht="15.75" customHeight="1" x14ac:dyDescent="0.2">
      <c r="A333" s="36" t="s">
        <v>422</v>
      </c>
    </row>
    <row r="334" spans="1:1" ht="15.75" customHeight="1" x14ac:dyDescent="0.2">
      <c r="A334" s="36" t="s">
        <v>423</v>
      </c>
    </row>
    <row r="335" spans="1:1" ht="15.75" customHeight="1" x14ac:dyDescent="0.2">
      <c r="A335" s="36"/>
    </row>
    <row r="336" spans="1:1" ht="15.75" customHeight="1" x14ac:dyDescent="0.2">
      <c r="A336" s="36" t="s">
        <v>424</v>
      </c>
    </row>
    <row r="337" spans="1:1" ht="15.75" customHeight="1" x14ac:dyDescent="0.2">
      <c r="A337" s="36" t="s">
        <v>425</v>
      </c>
    </row>
    <row r="338" spans="1:1" ht="15.75" customHeight="1" x14ac:dyDescent="0.2">
      <c r="A338" s="36" t="s">
        <v>426</v>
      </c>
    </row>
    <row r="339" spans="1:1" ht="15.75" customHeight="1" x14ac:dyDescent="0.2">
      <c r="A339" s="36"/>
    </row>
    <row r="340" spans="1:1" ht="15.75" customHeight="1" x14ac:dyDescent="0.2">
      <c r="A340" s="36" t="s">
        <v>427</v>
      </c>
    </row>
    <row r="341" spans="1:1" ht="15.75" customHeight="1" x14ac:dyDescent="0.2">
      <c r="A341" s="36" t="s">
        <v>428</v>
      </c>
    </row>
    <row r="342" spans="1:1" ht="15.75" customHeight="1" x14ac:dyDescent="0.2">
      <c r="A342" s="36" t="s">
        <v>429</v>
      </c>
    </row>
    <row r="343" spans="1:1" ht="15.75" customHeight="1" x14ac:dyDescent="0.2">
      <c r="A343" s="36"/>
    </row>
    <row r="344" spans="1:1" ht="15.75" customHeight="1" x14ac:dyDescent="0.2">
      <c r="A344" s="36" t="s">
        <v>430</v>
      </c>
    </row>
    <row r="345" spans="1:1" ht="15.75" customHeight="1" x14ac:dyDescent="0.2">
      <c r="A345" s="36" t="s">
        <v>431</v>
      </c>
    </row>
    <row r="346" spans="1:1" ht="15.75" customHeight="1" x14ac:dyDescent="0.2">
      <c r="A346" s="36" t="s">
        <v>432</v>
      </c>
    </row>
    <row r="347" spans="1:1" ht="15.75" customHeight="1" x14ac:dyDescent="0.2">
      <c r="A347" s="36"/>
    </row>
    <row r="348" spans="1:1" ht="15.75" customHeight="1" x14ac:dyDescent="0.2">
      <c r="A348" s="36" t="s">
        <v>433</v>
      </c>
    </row>
    <row r="349" spans="1:1" ht="15.75" customHeight="1" x14ac:dyDescent="0.2">
      <c r="A349" s="36" t="s">
        <v>434</v>
      </c>
    </row>
    <row r="350" spans="1:1" ht="15.75" customHeight="1" x14ac:dyDescent="0.2">
      <c r="A350" s="36" t="s">
        <v>435</v>
      </c>
    </row>
    <row r="351" spans="1:1" ht="15.75" customHeight="1" x14ac:dyDescent="0.2">
      <c r="A351" s="36"/>
    </row>
    <row r="352" spans="1:1" ht="15.75" customHeight="1" x14ac:dyDescent="0.2">
      <c r="A352" s="36" t="s">
        <v>436</v>
      </c>
    </row>
    <row r="353" spans="1:1" ht="15.75" customHeight="1" x14ac:dyDescent="0.2">
      <c r="A353" s="36" t="s">
        <v>437</v>
      </c>
    </row>
    <row r="354" spans="1:1" ht="15.75" customHeight="1" x14ac:dyDescent="0.2">
      <c r="A354" s="36" t="s">
        <v>438</v>
      </c>
    </row>
    <row r="355" spans="1:1" ht="15.75" customHeight="1" x14ac:dyDescent="0.2">
      <c r="A355" s="36"/>
    </row>
    <row r="356" spans="1:1" ht="15.75" customHeight="1" x14ac:dyDescent="0.2">
      <c r="A356" s="36" t="s">
        <v>439</v>
      </c>
    </row>
    <row r="357" spans="1:1" ht="15.75" customHeight="1" x14ac:dyDescent="0.2">
      <c r="A357" s="36" t="s">
        <v>440</v>
      </c>
    </row>
    <row r="358" spans="1:1" ht="15.75" customHeight="1" x14ac:dyDescent="0.2">
      <c r="A358" s="36" t="s">
        <v>441</v>
      </c>
    </row>
    <row r="359" spans="1:1" ht="15.75" customHeight="1" x14ac:dyDescent="0.2">
      <c r="A359" s="36"/>
    </row>
    <row r="360" spans="1:1" ht="15.75" customHeight="1" x14ac:dyDescent="0.2">
      <c r="A360" s="36" t="s">
        <v>442</v>
      </c>
    </row>
    <row r="361" spans="1:1" ht="15.75" customHeight="1" x14ac:dyDescent="0.2">
      <c r="A361" s="36" t="s">
        <v>443</v>
      </c>
    </row>
    <row r="362" spans="1:1" ht="15.75" customHeight="1" x14ac:dyDescent="0.2">
      <c r="A362" s="36" t="s">
        <v>444</v>
      </c>
    </row>
    <row r="363" spans="1:1" ht="15.75" customHeight="1" x14ac:dyDescent="0.2">
      <c r="A363" s="36"/>
    </row>
    <row r="364" spans="1:1" ht="15.75" customHeight="1" x14ac:dyDescent="0.2">
      <c r="A364" s="36" t="s">
        <v>445</v>
      </c>
    </row>
    <row r="365" spans="1:1" ht="15.75" customHeight="1" x14ac:dyDescent="0.2">
      <c r="A365" s="36" t="s">
        <v>446</v>
      </c>
    </row>
    <row r="366" spans="1:1" ht="15.75" customHeight="1" x14ac:dyDescent="0.2">
      <c r="A366" s="36" t="s">
        <v>447</v>
      </c>
    </row>
    <row r="367" spans="1:1" ht="15.75" customHeight="1" x14ac:dyDescent="0.2">
      <c r="A367" s="36"/>
    </row>
    <row r="368" spans="1:1" ht="15.75" customHeight="1" x14ac:dyDescent="0.2">
      <c r="A368" s="36" t="s">
        <v>448</v>
      </c>
    </row>
    <row r="369" spans="1:1" ht="15.75" customHeight="1" x14ac:dyDescent="0.2">
      <c r="A369" s="36"/>
    </row>
    <row r="370" spans="1:1" ht="15.75" customHeight="1" x14ac:dyDescent="0.2">
      <c r="A370" s="36" t="s">
        <v>449</v>
      </c>
    </row>
    <row r="371" spans="1:1" ht="15.75" customHeight="1" x14ac:dyDescent="0.2">
      <c r="A371" s="36" t="s">
        <v>450</v>
      </c>
    </row>
    <row r="372" spans="1:1" ht="15.75" customHeight="1" x14ac:dyDescent="0.2">
      <c r="A372" s="36" t="s">
        <v>451</v>
      </c>
    </row>
    <row r="373" spans="1:1" ht="15.75" customHeight="1" x14ac:dyDescent="0.2">
      <c r="A373" s="36" t="s">
        <v>452</v>
      </c>
    </row>
    <row r="374" spans="1:1" ht="15.75" customHeight="1" x14ac:dyDescent="0.2">
      <c r="A374" s="36" t="s">
        <v>453</v>
      </c>
    </row>
    <row r="375" spans="1:1" ht="15.75" customHeight="1" x14ac:dyDescent="0.2">
      <c r="A375" s="36" t="s">
        <v>454</v>
      </c>
    </row>
    <row r="376" spans="1:1" ht="15.75" customHeight="1" x14ac:dyDescent="0.2">
      <c r="A376" s="36"/>
    </row>
    <row r="377" spans="1:1" ht="15.75" customHeight="1" x14ac:dyDescent="0.2">
      <c r="A377" s="36" t="s">
        <v>455</v>
      </c>
    </row>
    <row r="378" spans="1:1" ht="15.75" customHeight="1" x14ac:dyDescent="0.2">
      <c r="A378" s="36" t="s">
        <v>456</v>
      </c>
    </row>
    <row r="379" spans="1:1" ht="15.75" customHeight="1" x14ac:dyDescent="0.2"/>
    <row r="380" spans="1:1" ht="15.75" customHeight="1" x14ac:dyDescent="0.2"/>
    <row r="381" spans="1:1" ht="15.75" customHeight="1" x14ac:dyDescent="0.2"/>
    <row r="382" spans="1:1" ht="15.75" customHeight="1" x14ac:dyDescent="0.2"/>
    <row r="383" spans="1:1" ht="15.75" customHeight="1" x14ac:dyDescent="0.2"/>
    <row r="384" spans="1:1"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327A9-9FF4-174A-BEF2-1FB147576F9A}">
  <dimension ref="A1:C1"/>
  <sheetViews>
    <sheetView tabSelected="1" topLeftCell="C1" workbookViewId="0">
      <selection activeCell="C9" sqref="C9"/>
    </sheetView>
  </sheetViews>
  <sheetFormatPr baseColWidth="10" defaultRowHeight="15" x14ac:dyDescent="0.2"/>
  <cols>
    <col min="1" max="1" width="120" customWidth="1"/>
    <col min="3" max="3" width="120" customWidth="1"/>
  </cols>
  <sheetData>
    <row r="1" spans="1:3" ht="409.6" x14ac:dyDescent="0.2">
      <c r="A1" s="41" t="s">
        <v>458</v>
      </c>
      <c r="C1" s="36" t="s">
        <v>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Precios_Para_Comunicar</vt:lpstr>
      <vt:lpstr>Precios_Partners_Growth</vt:lpstr>
      <vt:lpstr>Detalle_SKU_Con_Margenes</vt:lpstr>
      <vt:lpstr>Resumen_por_Producto</vt:lpstr>
      <vt:lpstr>Plan_Precios_Futuro</vt:lpstr>
      <vt:lpstr>Precios Tab Dreamfull-sheets</vt:lpstr>
      <vt:lpstr>Analisis_Descuentos</vt:lpstr>
      <vt:lpstr>Prompt_Bot</vt:lpstr>
      <vt:lpstr>Prompt_Dev_Costos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Ignacio Sambuceti</cp:lastModifiedBy>
  <dcterms:created xsi:type="dcterms:W3CDTF">2026-06-02T17:16:23Z</dcterms:created>
  <dcterms:modified xsi:type="dcterms:W3CDTF">2026-06-04T20:30:22Z</dcterms:modified>
</cp:coreProperties>
</file>